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yra/Downloads/Internship/Project 2/"/>
    </mc:Choice>
  </mc:AlternateContent>
  <xr:revisionPtr revIDLastSave="0" documentId="13_ncr:1_{87153B92-22E0-0C44-9E2D-1A5669C1918E}" xr6:coauthVersionLast="47" xr6:coauthVersionMax="47" xr10:uidLastSave="{00000000-0000-0000-0000-000000000000}"/>
  <bookViews>
    <workbookView xWindow="0" yWindow="660" windowWidth="29400" windowHeight="16600" xr2:uid="{91738821-A30B-3E44-B294-04B1115BF9C3}"/>
  </bookViews>
  <sheets>
    <sheet name="📊 Dashboard" sheetId="3" r:id="rId1"/>
    <sheet name="🐛 Bug Register" sheetId="13" r:id="rId2"/>
    <sheet name="🎯 Fix Tracker" sheetId="12" r:id="rId3"/>
    <sheet name="📋 1-Basic" sheetId="4" r:id="rId4"/>
    <sheet name="📋 2-Scientific" sheetId="5" r:id="rId5"/>
    <sheet name="📋 3-Statistics" sheetId="6" r:id="rId6"/>
    <sheet name="📋 4-Health" sheetId="7" r:id="rId7"/>
    <sheet name="📋 5-Finance" sheetId="8" r:id="rId8"/>
    <sheet name="📋 6-Trigonometry" sheetId="14" r:id="rId9"/>
    <sheet name="📋 7-Programming" sheetId="9" r:id="rId10"/>
    <sheet name="📋 8-EqSolver" sheetId="10" r:id="rId11"/>
    <sheet name="📋 9-Converter" sheetId="11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3" i="3" l="1"/>
  <c r="D13" i="3"/>
  <c r="E13" i="3"/>
  <c r="F13" i="3"/>
  <c r="C13" i="3"/>
  <c r="G12" i="3"/>
  <c r="G6" i="3"/>
  <c r="G7" i="3"/>
  <c r="G8" i="3"/>
  <c r="G9" i="3"/>
  <c r="G10" i="3"/>
  <c r="G11" i="3"/>
  <c r="G5" i="3"/>
  <c r="G4" i="3"/>
  <c r="B38" i="4"/>
</calcChain>
</file>

<file path=xl/sharedStrings.xml><?xml version="1.0" encoding="utf-8"?>
<sst xmlns="http://schemas.openxmlformats.org/spreadsheetml/2006/main" count="2142" uniqueCount="1383">
  <si>
    <t>Status</t>
  </si>
  <si>
    <t>TC-B-001</t>
  </si>
  <si>
    <t>0 ÷ 0</t>
  </si>
  <si>
    <t>Division by Zero</t>
  </si>
  <si>
    <t>TC-B-002</t>
  </si>
  <si>
    <t>5 ÷ 0</t>
  </si>
  <si>
    <t>TC-B-003</t>
  </si>
  <si>
    <t>TC-B-004</t>
  </si>
  <si>
    <t>0.1 + 0.2</t>
  </si>
  <si>
    <t>TC-B-005</t>
  </si>
  <si>
    <t>1 ÷ 3</t>
  </si>
  <si>
    <t>TC-B-006</t>
  </si>
  <si>
    <t>999999999999999 + 1</t>
  </si>
  <si>
    <t>TC-B-007</t>
  </si>
  <si>
    <t>999999999 × 999999999</t>
  </si>
  <si>
    <t>Math Error</t>
  </si>
  <si>
    <t>TC-B-008</t>
  </si>
  <si>
    <t>0 × 999999999</t>
  </si>
  <si>
    <t>TC-B-009</t>
  </si>
  <si>
    <t>TC-B-010</t>
  </si>
  <si>
    <t>TC-B-011</t>
  </si>
  <si>
    <t>TC-B-012</t>
  </si>
  <si>
    <r>
      <t>0</t>
    </r>
    <r>
      <rPr>
        <sz val="12"/>
        <color theme="1"/>
        <rFont val="Aptos Narrow"/>
        <family val="2"/>
        <scheme val="minor"/>
      </rPr>
      <t>, no crash</t>
    </r>
  </si>
  <si>
    <t>TC-B-013</t>
  </si>
  <si>
    <t>TC-B-014</t>
  </si>
  <si>
    <t>Clears expression and display</t>
  </si>
  <si>
    <t>TC-B-015</t>
  </si>
  <si>
    <t>5 ±</t>
  </si>
  <si>
    <t>TC-B-016</t>
  </si>
  <si>
    <t>-5 ±</t>
  </si>
  <si>
    <t>TC-B-017</t>
  </si>
  <si>
    <t>0 ±</t>
  </si>
  <si>
    <t>TC-B-018</t>
  </si>
  <si>
    <t>3.14 ±</t>
  </si>
  <si>
    <t>TC-B-019</t>
  </si>
  <si>
    <t>TC-B-020</t>
  </si>
  <si>
    <t>TC-B-021</t>
  </si>
  <si>
    <t>200 × 10%</t>
  </si>
  <si>
    <t>TC-B-022</t>
  </si>
  <si>
    <t>TC-B-023</t>
  </si>
  <si>
    <t>TC-B-024</t>
  </si>
  <si>
    <t>TC-B-025</t>
  </si>
  <si>
    <t>TC-B-026</t>
  </si>
  <si>
    <t>TC-B-027</t>
  </si>
  <si>
    <t>1.5 + 2.5</t>
  </si>
  <si>
    <t>TC-B-028</t>
  </si>
  <si>
    <t>10 ÷ 4</t>
  </si>
  <si>
    <t>TC-B-029</t>
  </si>
  <si>
    <t>2 + 3 × 4</t>
  </si>
  <si>
    <t>TC-B-030</t>
  </si>
  <si>
    <t>10 − 3 − 2</t>
  </si>
  <si>
    <t>TC-B-031</t>
  </si>
  <si>
    <t>TC-B-032</t>
  </si>
  <si>
    <t>TC-B-033</t>
  </si>
  <si>
    <t>Deletes last digit of result correctly</t>
  </si>
  <si>
    <t>TC-B-034</t>
  </si>
  <si>
    <t>5 = + 3 =</t>
  </si>
  <si>
    <t>TC-B-035</t>
  </si>
  <si>
    <t>Very long expression (20+ digits)</t>
  </si>
  <si>
    <t>Display shrinks font, no overflow or crash</t>
  </si>
  <si>
    <t>TC-B-036</t>
  </si>
  <si>
    <t>TC-B-037</t>
  </si>
  <si>
    <t>TC-B-038</t>
  </si>
  <si>
    <t>0.000001 × 0.000001</t>
  </si>
  <si>
    <t>TC-B-039</t>
  </si>
  <si>
    <t>TC-B-040</t>
  </si>
  <si>
    <t>Same as AC, clears display</t>
  </si>
  <si>
    <t>-9 / 0</t>
  </si>
  <si>
    <t>Sub-Tab</t>
  </si>
  <si>
    <t>Error: invalid syntax (&lt;unknown&gt;, line 1)</t>
  </si>
  <si>
    <t>Fail</t>
  </si>
  <si>
    <t>✅</t>
  </si>
  <si>
    <t>Press Delete key on keyboard</t>
  </si>
  <si>
    <t>Same as ⌫ , clears last digit</t>
  </si>
  <si>
    <t>TC-S-001</t>
  </si>
  <si>
    <t>(2 + 3) × 4</t>
  </si>
  <si>
    <t>TC-S-002</t>
  </si>
  <si>
    <r>
      <t>Error</t>
    </r>
    <r>
      <rPr>
        <sz val="12"/>
        <color theme="1"/>
        <rFont val="Aptos Narrow"/>
        <family val="2"/>
        <scheme val="minor"/>
      </rPr>
      <t xml:space="preserve"> or handles gracefully</t>
    </r>
  </si>
  <si>
    <t>TC-S-003</t>
  </si>
  <si>
    <t>TC-S-004</t>
  </si>
  <si>
    <t>TC-S-005</t>
  </si>
  <si>
    <t>TC-S-006</t>
  </si>
  <si>
    <t>TC-S-007</t>
  </si>
  <si>
    <t>TC-S-008</t>
  </si>
  <si>
    <t>9</t>
  </si>
  <si>
    <t>TC-S-009</t>
  </si>
  <si>
    <t>-8</t>
  </si>
  <si>
    <t>TC-S-010</t>
  </si>
  <si>
    <t>2 ^ 10001</t>
  </si>
  <si>
    <r>
      <t>Math Error</t>
    </r>
    <r>
      <rPr>
        <sz val="12"/>
        <color theme="1"/>
        <rFont val="Aptos Narrow"/>
        <family val="2"/>
        <scheme val="minor"/>
      </rPr>
      <t xml:space="preserve"> (power limit exceeded)</t>
    </r>
  </si>
  <si>
    <t>TC-S-011</t>
  </si>
  <si>
    <t>exp(0)</t>
  </si>
  <si>
    <t>TC-S-012</t>
  </si>
  <si>
    <t>exp(1)</t>
  </si>
  <si>
    <t>TC-S-013</t>
  </si>
  <si>
    <t>10^(3)</t>
  </si>
  <si>
    <t>TC-S-014</t>
  </si>
  <si>
    <t>TC-S-015</t>
  </si>
  <si>
    <t>TC-S-016</t>
  </si>
  <si>
    <r>
      <t xml:space="preserve">Shows </t>
    </r>
    <r>
      <rPr>
        <sz val="10"/>
        <color theme="1"/>
        <rFont val="Arial Unicode MS"/>
        <family val="2"/>
      </rPr>
      <t>sin⁻¹</t>
    </r>
  </si>
  <si>
    <t>TC-S-017</t>
  </si>
  <si>
    <r>
      <t xml:space="preserve">Returns to </t>
    </r>
    <r>
      <rPr>
        <sz val="10"/>
        <color theme="1"/>
        <rFont val="Arial Unicode MS"/>
        <family val="2"/>
      </rPr>
      <t>sin</t>
    </r>
  </si>
  <si>
    <t>TC-S-018</t>
  </si>
  <si>
    <t>TC-S-019</t>
  </si>
  <si>
    <t>TC-S-020</t>
  </si>
  <si>
    <t>TC-S-021</t>
  </si>
  <si>
    <t>sqrt(9)</t>
  </si>
  <si>
    <t>TC-S-022</t>
  </si>
  <si>
    <t>sqrt(-1)</t>
  </si>
  <si>
    <t>TC-S-023</t>
  </si>
  <si>
    <t>cbrt(-27)</t>
  </si>
  <si>
    <t>TC-S-024</t>
  </si>
  <si>
    <t>root(3, 27)</t>
  </si>
  <si>
    <t>TC-S-025</t>
  </si>
  <si>
    <t>root(0, 27)</t>
  </si>
  <si>
    <r>
      <t>Math Error</t>
    </r>
    <r>
      <rPr>
        <sz val="12"/>
        <color theme="1"/>
        <rFont val="Aptos Narrow"/>
        <family val="2"/>
        <scheme val="minor"/>
      </rPr>
      <t xml:space="preserve"> (root=0 blocked)</t>
    </r>
  </si>
  <si>
    <t>TC-S-026</t>
  </si>
  <si>
    <t>log(0)</t>
  </si>
  <si>
    <t>TC-S-027</t>
  </si>
  <si>
    <t>log(1000)</t>
  </si>
  <si>
    <t>TC-S-028</t>
  </si>
  <si>
    <t>lcm(4, 6)</t>
  </si>
  <si>
    <t>TC-S-029</t>
  </si>
  <si>
    <t>lcm(0, 5)</t>
  </si>
  <si>
    <t>TC-S-030</t>
  </si>
  <si>
    <t>TC-S-031</t>
  </si>
  <si>
    <t>TC-S-032</t>
  </si>
  <si>
    <t>TC-S-033</t>
  </si>
  <si>
    <t>0!</t>
  </si>
  <si>
    <t>TC-S-034</t>
  </si>
  <si>
    <t>171!</t>
  </si>
  <si>
    <t>TC-S-035</t>
  </si>
  <si>
    <t>1.5!</t>
  </si>
  <si>
    <r>
      <t>Math Error</t>
    </r>
    <r>
      <rPr>
        <sz val="12"/>
        <color theme="1"/>
        <rFont val="Aptos Narrow"/>
        <family val="2"/>
        <scheme val="minor"/>
      </rPr>
      <t xml:space="preserve"> (non-integer)</t>
    </r>
  </si>
  <si>
    <t>TC-S-036</t>
  </si>
  <si>
    <t>π =</t>
  </si>
  <si>
    <t>TC-S-037</t>
  </si>
  <si>
    <t>gcd(12, 8)</t>
  </si>
  <si>
    <t>TC-S-038</t>
  </si>
  <si>
    <t>sinh(0)</t>
  </si>
  <si>
    <t>TC-S-039</t>
  </si>
  <si>
    <t>asinh(0)</t>
  </si>
  <si>
    <t>TC-S-040</t>
  </si>
  <si>
    <t>cosh(0)</t>
  </si>
  <si>
    <t>TC-S-041</t>
  </si>
  <si>
    <t>TC-S-042</t>
  </si>
  <si>
    <t>TC-S-043</t>
  </si>
  <si>
    <t>atanh(0)</t>
  </si>
  <si>
    <t>TC-S-044</t>
  </si>
  <si>
    <t>abs(-7)</t>
  </si>
  <si>
    <t>TC-S-045</t>
  </si>
  <si>
    <r>
      <t xml:space="preserve">Between </t>
    </r>
    <r>
      <rPr>
        <sz val="10"/>
        <color theme="1"/>
        <rFont val="Arial Unicode MS"/>
        <family val="2"/>
      </rPr>
      <t>0</t>
    </r>
    <r>
      <rPr>
        <sz val="12"/>
        <color theme="1"/>
        <rFont val="Aptos Narrow"/>
        <family val="2"/>
        <scheme val="minor"/>
      </rPr>
      <t xml:space="preserve"> and </t>
    </r>
    <r>
      <rPr>
        <sz val="10"/>
        <color theme="1"/>
        <rFont val="Arial Unicode MS"/>
        <family val="2"/>
      </rPr>
      <t>1</t>
    </r>
    <r>
      <rPr>
        <sz val="12"/>
        <color theme="1"/>
        <rFont val="Aptos Narrow"/>
        <family val="2"/>
        <scheme val="minor"/>
      </rPr>
      <t>, no crash</t>
    </r>
  </si>
  <si>
    <t>TC-S-046</t>
  </si>
  <si>
    <t>𝑒 =</t>
  </si>
  <si>
    <t>TC-S-047</t>
  </si>
  <si>
    <t>ln(0)</t>
  </si>
  <si>
    <t>TC-S-048</t>
  </si>
  <si>
    <t>TC-S-049</t>
  </si>
  <si>
    <t>ceil(4.1)</t>
  </si>
  <si>
    <t>TC-S-050</t>
  </si>
  <si>
    <t>floor(4.9)</t>
  </si>
  <si>
    <t>TC-S-051</t>
  </si>
  <si>
    <t>round(3.5)</t>
  </si>
  <si>
    <t>TC-S-052</t>
  </si>
  <si>
    <t>gcd(0, 5)</t>
  </si>
  <si>
    <t xml:space="preserve"> press ⌫, then result</t>
  </si>
  <si>
    <t xml:space="preserve"> press ⌫, then result, keep pressing keep adding the number</t>
  </si>
  <si>
    <t>have to clear memory later to ensure it starts fresh</t>
  </si>
  <si>
    <r>
      <t xml:space="preserve">Both → </t>
    </r>
    <r>
      <rPr>
        <sz val="10"/>
        <color theme="1"/>
        <rFont val="Arial Unicode MS"/>
        <family val="2"/>
      </rPr>
      <t>1</t>
    </r>
  </si>
  <si>
    <r>
      <t xml:space="preserve">Both → </t>
    </r>
    <r>
      <rPr>
        <sz val="10"/>
        <color theme="1"/>
        <rFont val="Arial Unicode MS"/>
        <family val="2"/>
      </rPr>
      <t>-1</t>
    </r>
  </si>
  <si>
    <r>
      <t xml:space="preserve">Both → </t>
    </r>
    <r>
      <rPr>
        <sz val="10"/>
        <color theme="1"/>
        <rFont val="Arial Unicode MS"/>
        <family val="2"/>
      </rPr>
      <t>Math Error</t>
    </r>
    <r>
      <rPr>
        <sz val="12"/>
        <color theme="1"/>
        <rFont val="Aptos Narrow"/>
        <family val="2"/>
        <scheme val="minor"/>
      </rPr>
      <t xml:space="preserve"> or very large number — </t>
    </r>
    <r>
      <rPr>
        <b/>
        <sz val="12"/>
        <color theme="1"/>
        <rFont val="Aptos Narrow"/>
        <family val="2"/>
        <scheme val="minor"/>
      </rPr>
      <t>check if consistent</t>
    </r>
  </si>
  <si>
    <r>
      <t xml:space="preserve">DEG → </t>
    </r>
    <r>
      <rPr>
        <sz val="10"/>
        <color theme="1"/>
        <rFont val="Arial Unicode MS"/>
        <family val="2"/>
      </rPr>
      <t>90</t>
    </r>
    <r>
      <rPr>
        <sz val="12"/>
        <color theme="1"/>
        <rFont val="Aptos Narrow"/>
        <family val="2"/>
        <scheme val="minor"/>
      </rPr>
      <t xml:space="preserve">, RAD → </t>
    </r>
    <r>
      <rPr>
        <sz val="10"/>
        <color theme="1"/>
        <rFont val="Arial Unicode MS"/>
        <family val="2"/>
      </rPr>
      <t>1.5707963268</t>
    </r>
  </si>
  <si>
    <r>
      <t xml:space="preserve">DEG → </t>
    </r>
    <r>
      <rPr>
        <sz val="10"/>
        <color theme="1"/>
        <rFont val="Arial Unicode MS"/>
        <family val="2"/>
      </rPr>
      <t>0</t>
    </r>
    <r>
      <rPr>
        <sz val="12"/>
        <color theme="1"/>
        <rFont val="Aptos Narrow"/>
        <family val="2"/>
        <scheme val="minor"/>
      </rPr>
      <t xml:space="preserve">, RAD → </t>
    </r>
    <r>
      <rPr>
        <sz val="10"/>
        <color theme="1"/>
        <rFont val="Arial Unicode MS"/>
        <family val="2"/>
      </rPr>
      <t>0</t>
    </r>
  </si>
  <si>
    <r>
      <t xml:space="preserve">DEG → </t>
    </r>
    <r>
      <rPr>
        <sz val="10"/>
        <color theme="1"/>
        <rFont val="Arial Unicode MS"/>
        <family val="2"/>
      </rPr>
      <t>45</t>
    </r>
    <r>
      <rPr>
        <sz val="12"/>
        <color theme="1"/>
        <rFont val="Aptos Narrow"/>
        <family val="2"/>
        <scheme val="minor"/>
      </rPr>
      <t xml:space="preserve">, RAD → </t>
    </r>
    <r>
      <rPr>
        <sz val="10"/>
        <color theme="1"/>
        <rFont val="Arial Unicode MS"/>
        <family val="2"/>
      </rPr>
      <t>0.7853981634</t>
    </r>
  </si>
  <si>
    <r>
      <t xml:space="preserve">Both → </t>
    </r>
    <r>
      <rPr>
        <sz val="10"/>
        <color theme="1"/>
        <rFont val="Arial Unicode MS"/>
        <family val="2"/>
      </rPr>
      <t>Math Error</t>
    </r>
    <r>
      <rPr>
        <sz val="12"/>
        <color theme="1"/>
        <rFont val="Aptos Narrow"/>
        <family val="2"/>
        <scheme val="minor"/>
      </rPr>
      <t xml:space="preserve"> — check if consistent</t>
    </r>
  </si>
  <si>
    <r>
      <t xml:space="preserve">Both → </t>
    </r>
    <r>
      <rPr>
        <sz val="10"/>
        <color theme="1"/>
        <rFont val="Arial Unicode MS"/>
        <family val="2"/>
      </rPr>
      <t>Math Error</t>
    </r>
    <r>
      <rPr>
        <sz val="12"/>
        <color theme="1"/>
        <rFont val="Aptos Narrow"/>
        <family val="2"/>
        <scheme val="minor"/>
      </rPr>
      <t xml:space="preserve"> (domain x≥1) — check if consistent</t>
    </r>
  </si>
  <si>
    <r>
      <t xml:space="preserve">Both → </t>
    </r>
    <r>
      <rPr>
        <sz val="10"/>
        <color theme="1"/>
        <rFont val="Arial Unicode MS"/>
        <family val="2"/>
      </rPr>
      <t>Math Error</t>
    </r>
    <r>
      <rPr>
        <sz val="12"/>
        <color theme="1"/>
        <rFont val="Aptos Narrow"/>
        <family val="2"/>
        <scheme val="minor"/>
      </rPr>
      <t xml:space="preserve"> (domain -1 to 1 exclusive) — check if consistent</t>
    </r>
  </si>
  <si>
    <t>TC-S-053</t>
  </si>
  <si>
    <t>TC-S-054</t>
  </si>
  <si>
    <t>TC-ST-001</t>
  </si>
  <si>
    <t>Count=1, Mean=5, Median=5, Mode=No repeating values, Std Dev=0</t>
  </si>
  <si>
    <t>TC-ST-002</t>
  </si>
  <si>
    <t>TC-ST-003</t>
  </si>
  <si>
    <t>1, 2, 3, 4, 5</t>
  </si>
  <si>
    <t>TC-ST-004</t>
  </si>
  <si>
    <t>TC-ST-005</t>
  </si>
  <si>
    <t>TC-ST-006</t>
  </si>
  <si>
    <t>TC-ST-007</t>
  </si>
  <si>
    <t>TC-ST-008</t>
  </si>
  <si>
    <t>TC-ST-009</t>
  </si>
  <si>
    <t>TC-ST-010</t>
  </si>
  <si>
    <t>No crash, correct Mean and Range</t>
  </si>
  <si>
    <t>TC-ST-011</t>
  </si>
  <si>
    <t>TC-ST-012</t>
  </si>
  <si>
    <t>TC-ST-013</t>
  </si>
  <si>
    <t>TC-ST-014</t>
  </si>
  <si>
    <t>TC-ST-015</t>
  </si>
  <si>
    <t>TC-ST-016</t>
  </si>
  <si>
    <t>TC-ST-017</t>
  </si>
  <si>
    <t>TC-ST-018</t>
  </si>
  <si>
    <t>TC-ST-019</t>
  </si>
  <si>
    <t>Empty input, press Calculate</t>
  </si>
  <si>
    <t>No crash, no result shown or clear error</t>
  </si>
  <si>
    <t>TC-ST-020</t>
  </si>
  <si>
    <t xml:space="preserve">Spaces only </t>
  </si>
  <si>
    <t>No crash, handled as empty</t>
  </si>
  <si>
    <t>TC-ST-021</t>
  </si>
  <si>
    <r>
      <t>Error</t>
    </r>
    <r>
      <rPr>
        <sz val="12"/>
        <color theme="1"/>
        <rFont val="Aptos Narrow"/>
        <family val="2"/>
        <scheme val="minor"/>
      </rPr>
      <t xml:space="preserve"> shown, no crash</t>
    </r>
  </si>
  <si>
    <t>TC-ST-022</t>
  </si>
  <si>
    <t>TC-ST-023</t>
  </si>
  <si>
    <t>Handles gracefully, ignores trailing comma</t>
  </si>
  <si>
    <t>TC-ST-024</t>
  </si>
  <si>
    <t>TC-ST-025</t>
  </si>
  <si>
    <t>Mean heavily skewed, Std Dev very large, no crash</t>
  </si>
  <si>
    <t>TC-ST-026</t>
  </si>
  <si>
    <t>TC-ST-027</t>
  </si>
  <si>
    <t>No crash, no UI freeze</t>
  </si>
  <si>
    <t>TC-ST-028</t>
  </si>
  <si>
    <t>TC-ST-029</t>
  </si>
  <si>
    <t>All results display correctly</t>
  </si>
  <si>
    <t>Count, Sum, Mean, Median, Mode, Largest, Smallest, Range, Std Dev, Variance, Samp StdD, Samp Var, Geo Mean all appear</t>
  </si>
  <si>
    <t>TC-ST-030</t>
  </si>
  <si>
    <t>Result displays in top output box</t>
  </si>
  <si>
    <t>After calculate, result appears in main display at top, not locally</t>
  </si>
  <si>
    <t>TC-H-BMI-001</t>
  </si>
  <si>
    <r>
      <t>Weight=</t>
    </r>
    <r>
      <rPr>
        <sz val="10"/>
        <color theme="1"/>
        <rFont val="Arial Unicode MS"/>
        <family val="2"/>
      </rPr>
      <t>70</t>
    </r>
    <r>
      <rPr>
        <sz val="12"/>
        <color theme="1"/>
        <rFont val="Aptos Narrow"/>
        <family val="2"/>
        <scheme val="minor"/>
      </rPr>
      <t>, Height=</t>
    </r>
    <r>
      <rPr>
        <sz val="10"/>
        <color theme="1"/>
        <rFont val="Arial Unicode MS"/>
        <family val="2"/>
      </rPr>
      <t>175</t>
    </r>
  </si>
  <si>
    <r>
      <t>BMI=</t>
    </r>
    <r>
      <rPr>
        <sz val="10"/>
        <color theme="1"/>
        <rFont val="Arial Unicode MS"/>
        <family val="2"/>
      </rPr>
      <t>22.86</t>
    </r>
    <r>
      <rPr>
        <sz val="12"/>
        <color theme="1"/>
        <rFont val="Aptos Narrow"/>
        <family val="2"/>
        <scheme val="minor"/>
      </rPr>
      <t xml:space="preserve"> → Normal weight</t>
    </r>
  </si>
  <si>
    <t>TC-H-BMI-002</t>
  </si>
  <si>
    <r>
      <t>Weight=</t>
    </r>
    <r>
      <rPr>
        <sz val="10"/>
        <color theme="1"/>
        <rFont val="Arial Unicode MS"/>
        <family val="2"/>
      </rPr>
      <t>50</t>
    </r>
    <r>
      <rPr>
        <sz val="12"/>
        <color theme="1"/>
        <rFont val="Aptos Narrow"/>
        <family val="2"/>
        <scheme val="minor"/>
      </rPr>
      <t>, Height=</t>
    </r>
    <r>
      <rPr>
        <sz val="10"/>
        <color theme="1"/>
        <rFont val="Arial Unicode MS"/>
        <family val="2"/>
      </rPr>
      <t>170</t>
    </r>
  </si>
  <si>
    <r>
      <t>BMI=</t>
    </r>
    <r>
      <rPr>
        <sz val="10"/>
        <color theme="1"/>
        <rFont val="Arial Unicode MS"/>
        <family val="2"/>
      </rPr>
      <t>17.30</t>
    </r>
    <r>
      <rPr>
        <sz val="12"/>
        <color theme="1"/>
        <rFont val="Aptos Narrow"/>
        <family val="2"/>
        <scheme val="minor"/>
      </rPr>
      <t xml:space="preserve"> → Underweight</t>
    </r>
  </si>
  <si>
    <t>TC-H-BMI-003</t>
  </si>
  <si>
    <r>
      <t>Weight=</t>
    </r>
    <r>
      <rPr>
        <sz val="10"/>
        <color theme="1"/>
        <rFont val="Arial Unicode MS"/>
        <family val="2"/>
      </rPr>
      <t>90</t>
    </r>
    <r>
      <rPr>
        <sz val="12"/>
        <color theme="1"/>
        <rFont val="Aptos Narrow"/>
        <family val="2"/>
        <scheme val="minor"/>
      </rPr>
      <t>, Height=</t>
    </r>
    <r>
      <rPr>
        <sz val="10"/>
        <color theme="1"/>
        <rFont val="Arial Unicode MS"/>
        <family val="2"/>
      </rPr>
      <t>170</t>
    </r>
  </si>
  <si>
    <r>
      <t>BMI=</t>
    </r>
    <r>
      <rPr>
        <sz val="10"/>
        <color theme="1"/>
        <rFont val="Arial Unicode MS"/>
        <family val="2"/>
      </rPr>
      <t>31.14</t>
    </r>
    <r>
      <rPr>
        <sz val="12"/>
        <color theme="1"/>
        <rFont val="Aptos Narrow"/>
        <family val="2"/>
        <scheme val="minor"/>
      </rPr>
      <t xml:space="preserve"> → Obese</t>
    </r>
  </si>
  <si>
    <t>TC-H-BMI-004</t>
  </si>
  <si>
    <r>
      <t>Weight=</t>
    </r>
    <r>
      <rPr>
        <sz val="10"/>
        <color theme="1"/>
        <rFont val="Arial Unicode MS"/>
        <family val="2"/>
      </rPr>
      <t>0</t>
    </r>
    <r>
      <rPr>
        <sz val="12"/>
        <color theme="1"/>
        <rFont val="Aptos Narrow"/>
        <family val="2"/>
        <scheme val="minor"/>
      </rPr>
      <t>, Height=</t>
    </r>
    <r>
      <rPr>
        <sz val="10"/>
        <color theme="1"/>
        <rFont val="Arial Unicode MS"/>
        <family val="2"/>
      </rPr>
      <t>170</t>
    </r>
  </si>
  <si>
    <t>Error: Values must be positive</t>
  </si>
  <si>
    <t>TC-H-BMI-005</t>
  </si>
  <si>
    <r>
      <t>Weight=</t>
    </r>
    <r>
      <rPr>
        <sz val="10"/>
        <color theme="1"/>
        <rFont val="Arial Unicode MS"/>
        <family val="2"/>
      </rPr>
      <t>70</t>
    </r>
    <r>
      <rPr>
        <sz val="12"/>
        <color theme="1"/>
        <rFont val="Aptos Narrow"/>
        <family val="2"/>
        <scheme val="minor"/>
      </rPr>
      <t>, Height=</t>
    </r>
    <r>
      <rPr>
        <sz val="10"/>
        <color theme="1"/>
        <rFont val="Arial Unicode MS"/>
        <family val="2"/>
      </rPr>
      <t>0</t>
    </r>
  </si>
  <si>
    <t>TC-H-BMI-006</t>
  </si>
  <si>
    <r>
      <t>Weight=</t>
    </r>
    <r>
      <rPr>
        <sz val="10"/>
        <color theme="1"/>
        <rFont val="Arial Unicode MS"/>
        <family val="2"/>
      </rPr>
      <t>-70</t>
    </r>
    <r>
      <rPr>
        <sz val="12"/>
        <color theme="1"/>
        <rFont val="Aptos Narrow"/>
        <family val="2"/>
        <scheme val="minor"/>
      </rPr>
      <t>, Height=</t>
    </r>
    <r>
      <rPr>
        <sz val="10"/>
        <color theme="1"/>
        <rFont val="Arial Unicode MS"/>
        <family val="2"/>
      </rPr>
      <t>175</t>
    </r>
  </si>
  <si>
    <t>TC-H-BMI-007</t>
  </si>
  <si>
    <r>
      <t>Weight=</t>
    </r>
    <r>
      <rPr>
        <sz val="10"/>
        <color theme="1"/>
        <rFont val="Arial Unicode MS"/>
        <family val="2"/>
      </rPr>
      <t>70</t>
    </r>
    <r>
      <rPr>
        <sz val="12"/>
        <color theme="1"/>
        <rFont val="Aptos Narrow"/>
        <family val="2"/>
        <scheme val="minor"/>
      </rPr>
      <t>, Height=</t>
    </r>
    <r>
      <rPr>
        <sz val="10"/>
        <color theme="1"/>
        <rFont val="Arial Unicode MS"/>
        <family val="2"/>
      </rPr>
      <t>-175</t>
    </r>
  </si>
  <si>
    <t>TC-H-BMI-008</t>
  </si>
  <si>
    <r>
      <t>Weight=</t>
    </r>
    <r>
      <rPr>
        <sz val="10"/>
        <color theme="1"/>
        <rFont val="Arial Unicode MS"/>
        <family val="2"/>
      </rPr>
      <t>abc</t>
    </r>
    <r>
      <rPr>
        <sz val="12"/>
        <color theme="1"/>
        <rFont val="Aptos Narrow"/>
        <family val="2"/>
        <scheme val="minor"/>
      </rPr>
      <t>, Height=</t>
    </r>
    <r>
      <rPr>
        <sz val="10"/>
        <color theme="1"/>
        <rFont val="Arial Unicode MS"/>
        <family val="2"/>
      </rPr>
      <t>175</t>
    </r>
  </si>
  <si>
    <r>
      <t>Invalid input</t>
    </r>
    <r>
      <rPr>
        <sz val="12"/>
        <color theme="1"/>
        <rFont val="Aptos Narrow"/>
        <family val="2"/>
        <scheme val="minor"/>
      </rPr>
      <t>, no crash</t>
    </r>
  </si>
  <si>
    <t>TC-H-BMI-009</t>
  </si>
  <si>
    <r>
      <t>Weight=</t>
    </r>
    <r>
      <rPr>
        <sz val="10"/>
        <color theme="1"/>
        <rFont val="Arial Unicode MS"/>
        <family val="2"/>
      </rPr>
      <t>70</t>
    </r>
    <r>
      <rPr>
        <sz val="12"/>
        <color theme="1"/>
        <rFont val="Aptos Narrow"/>
        <family val="2"/>
        <scheme val="minor"/>
      </rPr>
      <t>, Height=</t>
    </r>
    <r>
      <rPr>
        <sz val="10"/>
        <color theme="1"/>
        <rFont val="Arial Unicode MS"/>
        <family val="2"/>
      </rPr>
      <t>175</t>
    </r>
    <r>
      <rPr>
        <sz val="12"/>
        <color theme="1"/>
        <rFont val="Aptos Narrow"/>
        <family val="2"/>
        <scheme val="minor"/>
      </rPr>
      <t>, press Enter</t>
    </r>
  </si>
  <si>
    <t>Result shows — verify Enter key works</t>
  </si>
  <si>
    <t>TC-H-BMI-010</t>
  </si>
  <si>
    <r>
      <t>Weight=</t>
    </r>
    <r>
      <rPr>
        <sz val="10"/>
        <color theme="1"/>
        <rFont val="Arial Unicode MS"/>
        <family val="2"/>
      </rPr>
      <t>999999</t>
    </r>
    <r>
      <rPr>
        <sz val="12"/>
        <color theme="1"/>
        <rFont val="Aptos Narrow"/>
        <family val="2"/>
        <scheme val="minor"/>
      </rPr>
      <t>, Height=</t>
    </r>
    <r>
      <rPr>
        <sz val="10"/>
        <color theme="1"/>
        <rFont val="Arial Unicode MS"/>
        <family val="2"/>
      </rPr>
      <t>999999</t>
    </r>
  </si>
  <si>
    <t>No crash, BMI calculated however absurd</t>
  </si>
  <si>
    <t>TC-H-BMI-011</t>
  </si>
  <si>
    <r>
      <t>Weight=</t>
    </r>
    <r>
      <rPr>
        <sz val="10"/>
        <color theme="1"/>
        <rFont val="Arial Unicode MS"/>
        <family val="2"/>
      </rPr>
      <t>48.7</t>
    </r>
    <r>
      <rPr>
        <sz val="12"/>
        <color theme="1"/>
        <rFont val="Aptos Narrow"/>
        <family val="2"/>
        <scheme val="minor"/>
      </rPr>
      <t>, Height=</t>
    </r>
    <r>
      <rPr>
        <sz val="10"/>
        <color theme="1"/>
        <rFont val="Arial Unicode MS"/>
        <family val="2"/>
      </rPr>
      <t>162.5</t>
    </r>
  </si>
  <si>
    <t>TC-H-BMI-012</t>
  </si>
  <si>
    <r>
      <t>Weight=</t>
    </r>
    <r>
      <rPr>
        <sz val="10"/>
        <color theme="1"/>
        <rFont val="Arial Unicode MS"/>
        <family val="2"/>
      </rPr>
      <t>68.9</t>
    </r>
    <r>
      <rPr>
        <sz val="12"/>
        <color theme="1"/>
        <rFont val="Aptos Narrow"/>
        <family val="2"/>
        <scheme val="minor"/>
      </rPr>
      <t>, Height=</t>
    </r>
    <r>
      <rPr>
        <sz val="10"/>
        <color theme="1"/>
        <rFont val="Arial Unicode MS"/>
        <family val="2"/>
      </rPr>
      <t>166</t>
    </r>
  </si>
  <si>
    <t>TC-H-BMI-013</t>
  </si>
  <si>
    <r>
      <t>Weight=</t>
    </r>
    <r>
      <rPr>
        <sz val="10"/>
        <color theme="1"/>
        <rFont val="Arial Unicode MS"/>
        <family val="2"/>
      </rPr>
      <t>82.5</t>
    </r>
    <r>
      <rPr>
        <sz val="12"/>
        <color theme="1"/>
        <rFont val="Aptos Narrow"/>
        <family val="2"/>
        <scheme val="minor"/>
      </rPr>
      <t>, Height=</t>
    </r>
    <r>
      <rPr>
        <sz val="10"/>
        <color theme="1"/>
        <rFont val="Arial Unicode MS"/>
        <family val="2"/>
      </rPr>
      <t>166</t>
    </r>
  </si>
  <si>
    <r>
      <t>BMI=</t>
    </r>
    <r>
      <rPr>
        <sz val="10"/>
        <color theme="1"/>
        <rFont val="Arial Unicode MS"/>
        <family val="2"/>
      </rPr>
      <t>29.94</t>
    </r>
    <r>
      <rPr>
        <sz val="12"/>
        <color theme="1"/>
        <rFont val="Aptos Narrow"/>
        <family val="2"/>
        <scheme val="minor"/>
      </rPr>
      <t xml:space="preserve"> → Overweight (just below 30.0 boundary)</t>
    </r>
  </si>
  <si>
    <t>TC-H-BMI-014</t>
  </si>
  <si>
    <r>
      <t>Weight=</t>
    </r>
    <r>
      <rPr>
        <sz val="10"/>
        <color theme="1"/>
        <rFont val="Arial Unicode MS"/>
        <family val="2"/>
      </rPr>
      <t>82.6</t>
    </r>
    <r>
      <rPr>
        <sz val="12"/>
        <color theme="1"/>
        <rFont val="Aptos Narrow"/>
        <family val="2"/>
        <scheme val="minor"/>
      </rPr>
      <t>, Height=</t>
    </r>
    <r>
      <rPr>
        <sz val="10"/>
        <color theme="1"/>
        <rFont val="Arial Unicode MS"/>
        <family val="2"/>
      </rPr>
      <t>166</t>
    </r>
  </si>
  <si>
    <t>TC-H-BMI-015</t>
  </si>
  <si>
    <r>
      <t>Weight=</t>
    </r>
    <r>
      <rPr>
        <sz val="10"/>
        <color theme="1"/>
        <rFont val="Arial Unicode MS"/>
        <family val="2"/>
      </rPr>
      <t>70.5</t>
    </r>
    <r>
      <rPr>
        <sz val="12"/>
        <color theme="1"/>
        <rFont val="Aptos Narrow"/>
        <family val="2"/>
        <scheme val="minor"/>
      </rPr>
      <t>, Height=</t>
    </r>
    <r>
      <rPr>
        <sz val="10"/>
        <color theme="1"/>
        <rFont val="Arial Unicode MS"/>
        <family val="2"/>
      </rPr>
      <t>175.5</t>
    </r>
  </si>
  <si>
    <r>
      <t>BMI=</t>
    </r>
    <r>
      <rPr>
        <sz val="10"/>
        <color theme="1"/>
        <rFont val="Arial Unicode MS"/>
        <family val="2"/>
      </rPr>
      <t>22.89</t>
    </r>
    <r>
      <rPr>
        <sz val="12"/>
        <color theme="1"/>
        <rFont val="Aptos Narrow"/>
        <family val="2"/>
        <scheme val="minor"/>
      </rPr>
      <t xml:space="preserve"> → Normal weight (decimal inputs work correctly)</t>
    </r>
  </si>
  <si>
    <r>
      <t>Weight=</t>
    </r>
    <r>
      <rPr>
        <sz val="10"/>
        <color theme="1"/>
        <rFont val="Arial Unicode MS"/>
        <family val="2"/>
      </rPr>
      <t>70</t>
    </r>
    <r>
      <rPr>
        <sz val="12"/>
        <color theme="1"/>
        <rFont val="Aptos Narrow"/>
        <family val="2"/>
        <scheme val="minor"/>
      </rPr>
      <t>, Height=</t>
    </r>
    <r>
      <rPr>
        <sz val="10"/>
        <color theme="1"/>
        <rFont val="Arial Unicode MS"/>
        <family val="2"/>
      </rPr>
      <t>175</t>
    </r>
    <r>
      <rPr>
        <sz val="12"/>
        <color theme="1"/>
        <rFont val="Aptos Narrow"/>
        <family val="2"/>
        <scheme val="minor"/>
      </rPr>
      <t>, Age=</t>
    </r>
    <r>
      <rPr>
        <sz val="10"/>
        <color theme="1"/>
        <rFont val="Arial Unicode MS"/>
        <family val="2"/>
      </rPr>
      <t>25</t>
    </r>
    <r>
      <rPr>
        <sz val="12"/>
        <color theme="1"/>
        <rFont val="Aptos Narrow"/>
        <family val="2"/>
        <scheme val="minor"/>
      </rPr>
      <t>, Male</t>
    </r>
  </si>
  <si>
    <r>
      <t>Weight=</t>
    </r>
    <r>
      <rPr>
        <sz val="10"/>
        <color theme="1"/>
        <rFont val="Arial Unicode MS"/>
        <family val="2"/>
      </rPr>
      <t>60</t>
    </r>
    <r>
      <rPr>
        <sz val="12"/>
        <color theme="1"/>
        <rFont val="Aptos Narrow"/>
        <family val="2"/>
        <scheme val="minor"/>
      </rPr>
      <t>, Height=</t>
    </r>
    <r>
      <rPr>
        <sz val="10"/>
        <color theme="1"/>
        <rFont val="Arial Unicode MS"/>
        <family val="2"/>
      </rPr>
      <t>165</t>
    </r>
    <r>
      <rPr>
        <sz val="12"/>
        <color theme="1"/>
        <rFont val="Aptos Narrow"/>
        <family val="2"/>
        <scheme val="minor"/>
      </rPr>
      <t>, Age=</t>
    </r>
    <r>
      <rPr>
        <sz val="10"/>
        <color theme="1"/>
        <rFont val="Arial Unicode MS"/>
        <family val="2"/>
      </rPr>
      <t>30</t>
    </r>
    <r>
      <rPr>
        <sz val="12"/>
        <color theme="1"/>
        <rFont val="Aptos Narrow"/>
        <family val="2"/>
        <scheme val="minor"/>
      </rPr>
      <t>, Female</t>
    </r>
  </si>
  <si>
    <r>
      <t>Weight=</t>
    </r>
    <r>
      <rPr>
        <sz val="10"/>
        <color theme="1"/>
        <rFont val="Arial Unicode MS"/>
        <family val="2"/>
      </rPr>
      <t>0</t>
    </r>
    <r>
      <rPr>
        <sz val="12"/>
        <color theme="1"/>
        <rFont val="Aptos Narrow"/>
        <family val="2"/>
        <scheme val="minor"/>
      </rPr>
      <t>, Height=</t>
    </r>
    <r>
      <rPr>
        <sz val="10"/>
        <color theme="1"/>
        <rFont val="Arial Unicode MS"/>
        <family val="2"/>
      </rPr>
      <t>175</t>
    </r>
    <r>
      <rPr>
        <sz val="12"/>
        <color theme="1"/>
        <rFont val="Aptos Narrow"/>
        <family val="2"/>
        <scheme val="minor"/>
      </rPr>
      <t>, Age=</t>
    </r>
    <r>
      <rPr>
        <sz val="10"/>
        <color theme="1"/>
        <rFont val="Arial Unicode MS"/>
        <family val="2"/>
      </rPr>
      <t>25</t>
    </r>
    <r>
      <rPr>
        <sz val="12"/>
        <color theme="1"/>
        <rFont val="Aptos Narrow"/>
        <family val="2"/>
        <scheme val="minor"/>
      </rPr>
      <t>, Male</t>
    </r>
  </si>
  <si>
    <t>Error: All values must be positive</t>
  </si>
  <si>
    <r>
      <t>Weight=</t>
    </r>
    <r>
      <rPr>
        <sz val="10"/>
        <color theme="1"/>
        <rFont val="Arial Unicode MS"/>
        <family val="2"/>
      </rPr>
      <t>70</t>
    </r>
    <r>
      <rPr>
        <sz val="12"/>
        <color theme="1"/>
        <rFont val="Aptos Narrow"/>
        <family val="2"/>
        <scheme val="minor"/>
      </rPr>
      <t>, Height=</t>
    </r>
    <r>
      <rPr>
        <sz val="10"/>
        <color theme="1"/>
        <rFont val="Arial Unicode MS"/>
        <family val="2"/>
      </rPr>
      <t>0</t>
    </r>
    <r>
      <rPr>
        <sz val="12"/>
        <color theme="1"/>
        <rFont val="Aptos Narrow"/>
        <family val="2"/>
        <scheme val="minor"/>
      </rPr>
      <t>, Age=</t>
    </r>
    <r>
      <rPr>
        <sz val="10"/>
        <color theme="1"/>
        <rFont val="Arial Unicode MS"/>
        <family val="2"/>
      </rPr>
      <t>25</t>
    </r>
    <r>
      <rPr>
        <sz val="12"/>
        <color theme="1"/>
        <rFont val="Aptos Narrow"/>
        <family val="2"/>
        <scheme val="minor"/>
      </rPr>
      <t>, Male</t>
    </r>
  </si>
  <si>
    <r>
      <t>Weight=</t>
    </r>
    <r>
      <rPr>
        <sz val="10"/>
        <color theme="1"/>
        <rFont val="Arial Unicode MS"/>
        <family val="2"/>
      </rPr>
      <t>70</t>
    </r>
    <r>
      <rPr>
        <sz val="12"/>
        <color theme="1"/>
        <rFont val="Aptos Narrow"/>
        <family val="2"/>
        <scheme val="minor"/>
      </rPr>
      <t>, Height=</t>
    </r>
    <r>
      <rPr>
        <sz val="10"/>
        <color theme="1"/>
        <rFont val="Arial Unicode MS"/>
        <family val="2"/>
      </rPr>
      <t>175</t>
    </r>
    <r>
      <rPr>
        <sz val="12"/>
        <color theme="1"/>
        <rFont val="Aptos Narrow"/>
        <family val="2"/>
        <scheme val="minor"/>
      </rPr>
      <t>, Age=</t>
    </r>
    <r>
      <rPr>
        <sz val="10"/>
        <color theme="1"/>
        <rFont val="Arial Unicode MS"/>
        <family val="2"/>
      </rPr>
      <t>0</t>
    </r>
    <r>
      <rPr>
        <sz val="12"/>
        <color theme="1"/>
        <rFont val="Aptos Narrow"/>
        <family val="2"/>
        <scheme val="minor"/>
      </rPr>
      <t>, Male</t>
    </r>
  </si>
  <si>
    <r>
      <t>Weight=</t>
    </r>
    <r>
      <rPr>
        <sz val="10"/>
        <color theme="1"/>
        <rFont val="Arial Unicode MS"/>
        <family val="2"/>
      </rPr>
      <t>70</t>
    </r>
    <r>
      <rPr>
        <sz val="12"/>
        <color theme="1"/>
        <rFont val="Aptos Narrow"/>
        <family val="2"/>
        <scheme val="minor"/>
      </rPr>
      <t>, Height=</t>
    </r>
    <r>
      <rPr>
        <sz val="10"/>
        <color theme="1"/>
        <rFont val="Arial Unicode MS"/>
        <family val="2"/>
      </rPr>
      <t>175</t>
    </r>
    <r>
      <rPr>
        <sz val="12"/>
        <color theme="1"/>
        <rFont val="Aptos Narrow"/>
        <family val="2"/>
        <scheme val="minor"/>
      </rPr>
      <t>, Age=</t>
    </r>
    <r>
      <rPr>
        <sz val="10"/>
        <color theme="1"/>
        <rFont val="Arial Unicode MS"/>
        <family val="2"/>
      </rPr>
      <t>25</t>
    </r>
    <r>
      <rPr>
        <sz val="12"/>
        <color theme="1"/>
        <rFont val="Aptos Narrow"/>
        <family val="2"/>
        <scheme val="minor"/>
      </rPr>
      <t>, switch Male→Female</t>
    </r>
  </si>
  <si>
    <r>
      <t xml:space="preserve">BMR changes by exactly </t>
    </r>
    <r>
      <rPr>
        <sz val="10"/>
        <color theme="1"/>
        <rFont val="Arial Unicode MS"/>
        <family val="2"/>
      </rPr>
      <t>166</t>
    </r>
    <r>
      <rPr>
        <sz val="12"/>
        <color theme="1"/>
        <rFont val="Aptos Narrow"/>
        <family val="2"/>
        <scheme val="minor"/>
      </rPr>
      <t xml:space="preserve"> kcal — verify formula</t>
    </r>
  </si>
  <si>
    <r>
      <t>Weight=</t>
    </r>
    <r>
      <rPr>
        <sz val="10"/>
        <color theme="1"/>
        <rFont val="Arial Unicode MS"/>
        <family val="2"/>
      </rPr>
      <t>abc</t>
    </r>
    <r>
      <rPr>
        <sz val="12"/>
        <color theme="1"/>
        <rFont val="Aptos Narrow"/>
        <family val="2"/>
        <scheme val="minor"/>
      </rPr>
      <t>, Height=</t>
    </r>
    <r>
      <rPr>
        <sz val="10"/>
        <color theme="1"/>
        <rFont val="Arial Unicode MS"/>
        <family val="2"/>
      </rPr>
      <t>175</t>
    </r>
    <r>
      <rPr>
        <sz val="12"/>
        <color theme="1"/>
        <rFont val="Aptos Narrow"/>
        <family val="2"/>
        <scheme val="minor"/>
      </rPr>
      <t>, Age=</t>
    </r>
    <r>
      <rPr>
        <sz val="10"/>
        <color theme="1"/>
        <rFont val="Arial Unicode MS"/>
        <family val="2"/>
      </rPr>
      <t>25</t>
    </r>
  </si>
  <si>
    <r>
      <t>Weight=</t>
    </r>
    <r>
      <rPr>
        <sz val="10"/>
        <color theme="1"/>
        <rFont val="Arial Unicode MS"/>
        <family val="2"/>
      </rPr>
      <t>70</t>
    </r>
    <r>
      <rPr>
        <sz val="12"/>
        <color theme="1"/>
        <rFont val="Aptos Narrow"/>
        <family val="2"/>
        <scheme val="minor"/>
      </rPr>
      <t>, Height=</t>
    </r>
    <r>
      <rPr>
        <sz val="10"/>
        <color theme="1"/>
        <rFont val="Arial Unicode MS"/>
        <family val="2"/>
      </rPr>
      <t>175</t>
    </r>
    <r>
      <rPr>
        <sz val="12"/>
        <color theme="1"/>
        <rFont val="Aptos Narrow"/>
        <family val="2"/>
        <scheme val="minor"/>
      </rPr>
      <t>, Age=</t>
    </r>
    <r>
      <rPr>
        <sz val="10"/>
        <color theme="1"/>
        <rFont val="Arial Unicode MS"/>
        <family val="2"/>
      </rPr>
      <t>25</t>
    </r>
    <r>
      <rPr>
        <sz val="12"/>
        <color theme="1"/>
        <rFont val="Aptos Narrow"/>
        <family val="2"/>
        <scheme val="minor"/>
      </rPr>
      <t>, press Enter</t>
    </r>
  </si>
  <si>
    <r>
      <t>Weight=</t>
    </r>
    <r>
      <rPr>
        <sz val="10"/>
        <color theme="1"/>
        <rFont val="Arial Unicode MS"/>
        <family val="2"/>
      </rPr>
      <t>999</t>
    </r>
    <r>
      <rPr>
        <sz val="12"/>
        <color theme="1"/>
        <rFont val="Aptos Narrow"/>
        <family val="2"/>
        <scheme val="minor"/>
      </rPr>
      <t>, Height=</t>
    </r>
    <r>
      <rPr>
        <sz val="10"/>
        <color theme="1"/>
        <rFont val="Arial Unicode MS"/>
        <family val="2"/>
      </rPr>
      <t>999</t>
    </r>
    <r>
      <rPr>
        <sz val="12"/>
        <color theme="1"/>
        <rFont val="Aptos Narrow"/>
        <family val="2"/>
        <scheme val="minor"/>
      </rPr>
      <t>, Age=</t>
    </r>
    <r>
      <rPr>
        <sz val="10"/>
        <color theme="1"/>
        <rFont val="Arial Unicode MS"/>
        <family val="2"/>
      </rPr>
      <t>999</t>
    </r>
  </si>
  <si>
    <t>No crash, BMR calculated however absurd</t>
  </si>
  <si>
    <r>
      <t>Weight=</t>
    </r>
    <r>
      <rPr>
        <sz val="10"/>
        <color theme="1"/>
        <rFont val="Arial Unicode MS"/>
        <family val="2"/>
      </rPr>
      <t>70</t>
    </r>
    <r>
      <rPr>
        <sz val="12"/>
        <color theme="1"/>
        <rFont val="Aptos Narrow"/>
        <family val="2"/>
        <scheme val="minor"/>
      </rPr>
      <t>, Height=</t>
    </r>
    <r>
      <rPr>
        <sz val="10"/>
        <color theme="1"/>
        <rFont val="Arial Unicode MS"/>
        <family val="2"/>
      </rPr>
      <t>175</t>
    </r>
    <r>
      <rPr>
        <sz val="12"/>
        <color theme="1"/>
        <rFont val="Aptos Narrow"/>
        <family val="2"/>
        <scheme val="minor"/>
      </rPr>
      <t>, Age=</t>
    </r>
    <r>
      <rPr>
        <sz val="10"/>
        <color theme="1"/>
        <rFont val="Arial Unicode MS"/>
        <family val="2"/>
      </rPr>
      <t>1</t>
    </r>
    <r>
      <rPr>
        <sz val="12"/>
        <color theme="1"/>
        <rFont val="Aptos Narrow"/>
        <family val="2"/>
        <scheme val="minor"/>
      </rPr>
      <t>, Male</t>
    </r>
  </si>
  <si>
    <t>BMR calculated, no crash — result medically absurd but no error expected</t>
  </si>
  <si>
    <r>
      <t>Weight=</t>
    </r>
    <r>
      <rPr>
        <sz val="10"/>
        <color theme="1"/>
        <rFont val="Arial Unicode MS"/>
        <family val="2"/>
      </rPr>
      <t>70</t>
    </r>
    <r>
      <rPr>
        <sz val="12"/>
        <color theme="1"/>
        <rFont val="Aptos Narrow"/>
        <family val="2"/>
        <scheme val="minor"/>
      </rPr>
      <t>, Height=</t>
    </r>
    <r>
      <rPr>
        <sz val="10"/>
        <color theme="1"/>
        <rFont val="Arial Unicode MS"/>
        <family val="2"/>
      </rPr>
      <t>175</t>
    </r>
    <r>
      <rPr>
        <sz val="12"/>
        <color theme="1"/>
        <rFont val="Aptos Narrow"/>
        <family val="2"/>
        <scheme val="minor"/>
      </rPr>
      <t>, Age=</t>
    </r>
    <r>
      <rPr>
        <sz val="10"/>
        <color theme="1"/>
        <rFont val="Arial Unicode MS"/>
        <family val="2"/>
      </rPr>
      <t>150</t>
    </r>
    <r>
      <rPr>
        <sz val="12"/>
        <color theme="1"/>
        <rFont val="Aptos Narrow"/>
        <family val="2"/>
        <scheme val="minor"/>
      </rPr>
      <t>, Male</t>
    </r>
  </si>
  <si>
    <t>No upper age validation — result shown, no crash</t>
  </si>
  <si>
    <r>
      <t>Weight=</t>
    </r>
    <r>
      <rPr>
        <sz val="10"/>
        <color theme="1"/>
        <rFont val="Arial Unicode MS"/>
        <family val="2"/>
      </rPr>
      <t>0.5</t>
    </r>
    <r>
      <rPr>
        <sz val="12"/>
        <color theme="1"/>
        <rFont val="Aptos Narrow"/>
        <family val="2"/>
        <scheme val="minor"/>
      </rPr>
      <t>, Height=</t>
    </r>
    <r>
      <rPr>
        <sz val="10"/>
        <color theme="1"/>
        <rFont val="Arial Unicode MS"/>
        <family val="2"/>
      </rPr>
      <t>175</t>
    </r>
    <r>
      <rPr>
        <sz val="12"/>
        <color theme="1"/>
        <rFont val="Aptos Narrow"/>
        <family val="2"/>
        <scheme val="minor"/>
      </rPr>
      <t>, Age=</t>
    </r>
    <r>
      <rPr>
        <sz val="10"/>
        <color theme="1"/>
        <rFont val="Arial Unicode MS"/>
        <family val="2"/>
      </rPr>
      <t>25</t>
    </r>
    <r>
      <rPr>
        <sz val="12"/>
        <color theme="1"/>
        <rFont val="Aptos Narrow"/>
        <family val="2"/>
        <scheme val="minor"/>
      </rPr>
      <t>, Male</t>
    </r>
  </si>
  <si>
    <t>No crash — very low weight calculates</t>
  </si>
  <si>
    <r>
      <t>Weight=</t>
    </r>
    <r>
      <rPr>
        <sz val="10"/>
        <color theme="1"/>
        <rFont val="Arial Unicode MS"/>
        <family val="2"/>
      </rPr>
      <t>70.5</t>
    </r>
    <r>
      <rPr>
        <sz val="12"/>
        <color theme="1"/>
        <rFont val="Aptos Narrow"/>
        <family val="2"/>
        <scheme val="minor"/>
      </rPr>
      <t>, Height=</t>
    </r>
    <r>
      <rPr>
        <sz val="10"/>
        <color theme="1"/>
        <rFont val="Arial Unicode MS"/>
        <family val="2"/>
      </rPr>
      <t>175.5</t>
    </r>
    <r>
      <rPr>
        <sz val="12"/>
        <color theme="1"/>
        <rFont val="Aptos Narrow"/>
        <family val="2"/>
        <scheme val="minor"/>
      </rPr>
      <t>, Age=</t>
    </r>
    <r>
      <rPr>
        <sz val="10"/>
        <color theme="1"/>
        <rFont val="Arial Unicode MS"/>
        <family val="2"/>
      </rPr>
      <t>25.5</t>
    </r>
    <r>
      <rPr>
        <sz val="12"/>
        <color theme="1"/>
        <rFont val="Aptos Narrow"/>
        <family val="2"/>
        <scheme val="minor"/>
      </rPr>
      <t>, Male</t>
    </r>
  </si>
  <si>
    <t>Decimal inputs accepted, correct BMR shown</t>
  </si>
  <si>
    <r>
      <t>Height=</t>
    </r>
    <r>
      <rPr>
        <sz val="10"/>
        <color theme="1"/>
        <rFont val="Arial Unicode MS"/>
        <family val="2"/>
      </rPr>
      <t>175</t>
    </r>
    <r>
      <rPr>
        <sz val="12"/>
        <color theme="1"/>
        <rFont val="Aptos Narrow"/>
        <family val="2"/>
        <scheme val="minor"/>
      </rPr>
      <t>, Neck=</t>
    </r>
    <r>
      <rPr>
        <sz val="10"/>
        <color theme="1"/>
        <rFont val="Arial Unicode MS"/>
        <family val="2"/>
      </rPr>
      <t>38</t>
    </r>
    <r>
      <rPr>
        <sz val="12"/>
        <color theme="1"/>
        <rFont val="Aptos Narrow"/>
        <family val="2"/>
        <scheme val="minor"/>
      </rPr>
      <t>, Waist=</t>
    </r>
    <r>
      <rPr>
        <sz val="10"/>
        <color theme="1"/>
        <rFont val="Arial Unicode MS"/>
        <family val="2"/>
      </rPr>
      <t>85</t>
    </r>
    <r>
      <rPr>
        <sz val="12"/>
        <color theme="1"/>
        <rFont val="Aptos Narrow"/>
        <family val="2"/>
        <scheme val="minor"/>
      </rPr>
      <t>, Male</t>
    </r>
  </si>
  <si>
    <t>Valid body fat % shown</t>
  </si>
  <si>
    <r>
      <t>Height=</t>
    </r>
    <r>
      <rPr>
        <sz val="10"/>
        <color theme="1"/>
        <rFont val="Arial Unicode MS"/>
        <family val="2"/>
      </rPr>
      <t>165</t>
    </r>
    <r>
      <rPr>
        <sz val="12"/>
        <color theme="1"/>
        <rFont val="Aptos Narrow"/>
        <family val="2"/>
        <scheme val="minor"/>
      </rPr>
      <t>, Neck=</t>
    </r>
    <r>
      <rPr>
        <sz val="10"/>
        <color theme="1"/>
        <rFont val="Arial Unicode MS"/>
        <family val="2"/>
      </rPr>
      <t>32</t>
    </r>
    <r>
      <rPr>
        <sz val="12"/>
        <color theme="1"/>
        <rFont val="Aptos Narrow"/>
        <family val="2"/>
        <scheme val="minor"/>
      </rPr>
      <t>, Waist=</t>
    </r>
    <r>
      <rPr>
        <sz val="10"/>
        <color theme="1"/>
        <rFont val="Arial Unicode MS"/>
        <family val="2"/>
      </rPr>
      <t>75</t>
    </r>
    <r>
      <rPr>
        <sz val="12"/>
        <color theme="1"/>
        <rFont val="Aptos Narrow"/>
        <family val="2"/>
        <scheme val="minor"/>
      </rPr>
      <t>, Hip=</t>
    </r>
    <r>
      <rPr>
        <sz val="10"/>
        <color theme="1"/>
        <rFont val="Arial Unicode MS"/>
        <family val="2"/>
      </rPr>
      <t>95</t>
    </r>
    <r>
      <rPr>
        <sz val="12"/>
        <color theme="1"/>
        <rFont val="Aptos Narrow"/>
        <family val="2"/>
        <scheme val="minor"/>
      </rPr>
      <t>, Female</t>
    </r>
  </si>
  <si>
    <r>
      <t>Male, Waist=</t>
    </r>
    <r>
      <rPr>
        <sz val="10"/>
        <color theme="1"/>
        <rFont val="Arial Unicode MS"/>
        <family val="2"/>
      </rPr>
      <t>38</t>
    </r>
    <r>
      <rPr>
        <sz val="12"/>
        <color theme="1"/>
        <rFont val="Aptos Narrow"/>
        <family val="2"/>
        <scheme val="minor"/>
      </rPr>
      <t>, Neck=</t>
    </r>
    <r>
      <rPr>
        <sz val="10"/>
        <color theme="1"/>
        <rFont val="Arial Unicode MS"/>
        <family val="2"/>
      </rPr>
      <t>40</t>
    </r>
    <r>
      <rPr>
        <sz val="12"/>
        <color theme="1"/>
        <rFont val="Aptos Narrow"/>
        <family val="2"/>
        <scheme val="minor"/>
      </rPr>
      <t xml:space="preserve"> (Waist ≤ Neck)</t>
    </r>
  </si>
  <si>
    <t>Error: Waist must be greater than neck</t>
  </si>
  <si>
    <r>
      <t>Height=</t>
    </r>
    <r>
      <rPr>
        <sz val="10"/>
        <color theme="1"/>
        <rFont val="Arial Unicode MS"/>
        <family val="2"/>
      </rPr>
      <t>0</t>
    </r>
    <r>
      <rPr>
        <sz val="12"/>
        <color theme="1"/>
        <rFont val="Aptos Narrow"/>
        <family val="2"/>
        <scheme val="minor"/>
      </rPr>
      <t>, Neck=</t>
    </r>
    <r>
      <rPr>
        <sz val="10"/>
        <color theme="1"/>
        <rFont val="Arial Unicode MS"/>
        <family val="2"/>
      </rPr>
      <t>38</t>
    </r>
    <r>
      <rPr>
        <sz val="12"/>
        <color theme="1"/>
        <rFont val="Aptos Narrow"/>
        <family val="2"/>
        <scheme val="minor"/>
      </rPr>
      <t>, Waist=</t>
    </r>
    <r>
      <rPr>
        <sz val="10"/>
        <color theme="1"/>
        <rFont val="Arial Unicode MS"/>
        <family val="2"/>
      </rPr>
      <t>85</t>
    </r>
    <r>
      <rPr>
        <sz val="12"/>
        <color theme="1"/>
        <rFont val="Aptos Narrow"/>
        <family val="2"/>
        <scheme val="minor"/>
      </rPr>
      <t>, Male</t>
    </r>
  </si>
  <si>
    <t>Error: Height must be greater than 0</t>
  </si>
  <si>
    <r>
      <t>Height=</t>
    </r>
    <r>
      <rPr>
        <sz val="10"/>
        <color theme="1"/>
        <rFont val="Arial Unicode MS"/>
        <family val="2"/>
      </rPr>
      <t>175</t>
    </r>
    <r>
      <rPr>
        <sz val="12"/>
        <color theme="1"/>
        <rFont val="Aptos Narrow"/>
        <family val="2"/>
        <scheme val="minor"/>
      </rPr>
      <t>, Neck=</t>
    </r>
    <r>
      <rPr>
        <sz val="10"/>
        <color theme="1"/>
        <rFont val="Arial Unicode MS"/>
        <family val="2"/>
      </rPr>
      <t>0</t>
    </r>
    <r>
      <rPr>
        <sz val="12"/>
        <color theme="1"/>
        <rFont val="Aptos Narrow"/>
        <family val="2"/>
        <scheme val="minor"/>
      </rPr>
      <t>, Waist=</t>
    </r>
    <r>
      <rPr>
        <sz val="10"/>
        <color theme="1"/>
        <rFont val="Arial Unicode MS"/>
        <family val="2"/>
      </rPr>
      <t>85</t>
    </r>
    <r>
      <rPr>
        <sz val="12"/>
        <color theme="1"/>
        <rFont val="Aptos Narrow"/>
        <family val="2"/>
        <scheme val="minor"/>
      </rPr>
      <t>, Male</t>
    </r>
  </si>
  <si>
    <t>Error: Neck circumference must be greater than 0</t>
  </si>
  <si>
    <r>
      <t>Height=</t>
    </r>
    <r>
      <rPr>
        <sz val="10"/>
        <color theme="1"/>
        <rFont val="Arial Unicode MS"/>
        <family val="2"/>
      </rPr>
      <t>175</t>
    </r>
    <r>
      <rPr>
        <sz val="12"/>
        <color theme="1"/>
        <rFont val="Aptos Narrow"/>
        <family val="2"/>
        <scheme val="minor"/>
      </rPr>
      <t>, Neck=</t>
    </r>
    <r>
      <rPr>
        <sz val="10"/>
        <color theme="1"/>
        <rFont val="Arial Unicode MS"/>
        <family val="2"/>
      </rPr>
      <t>38</t>
    </r>
    <r>
      <rPr>
        <sz val="12"/>
        <color theme="1"/>
        <rFont val="Aptos Narrow"/>
        <family val="2"/>
        <scheme val="minor"/>
      </rPr>
      <t>, Waist=</t>
    </r>
    <r>
      <rPr>
        <sz val="10"/>
        <color theme="1"/>
        <rFont val="Arial Unicode MS"/>
        <family val="2"/>
      </rPr>
      <t>0</t>
    </r>
    <r>
      <rPr>
        <sz val="12"/>
        <color theme="1"/>
        <rFont val="Aptos Narrow"/>
        <family val="2"/>
        <scheme val="minor"/>
      </rPr>
      <t>, Male</t>
    </r>
  </si>
  <si>
    <t>Error: Waist circumference must be greater than 0</t>
  </si>
  <si>
    <t>Female, Hip field left empty</t>
  </si>
  <si>
    <r>
      <t>Negative values Height=</t>
    </r>
    <r>
      <rPr>
        <sz val="10"/>
        <color theme="1"/>
        <rFont val="Arial Unicode MS"/>
        <family val="2"/>
      </rPr>
      <t>-175</t>
    </r>
    <r>
      <rPr>
        <sz val="12"/>
        <color theme="1"/>
        <rFont val="Aptos Narrow"/>
        <family val="2"/>
        <scheme val="minor"/>
      </rPr>
      <t>, Neck=</t>
    </r>
    <r>
      <rPr>
        <sz val="10"/>
        <color theme="1"/>
        <rFont val="Arial Unicode MS"/>
        <family val="2"/>
      </rPr>
      <t>-38</t>
    </r>
  </si>
  <si>
    <r>
      <t>Error</t>
    </r>
    <r>
      <rPr>
        <sz val="12"/>
        <color theme="1"/>
        <rFont val="Aptos Narrow"/>
        <family val="2"/>
        <scheme val="minor"/>
      </rPr>
      <t>, no crash</t>
    </r>
  </si>
  <si>
    <r>
      <t xml:space="preserve">All fields </t>
    </r>
    <r>
      <rPr>
        <sz val="10"/>
        <color theme="1"/>
        <rFont val="Arial Unicode MS"/>
        <family val="2"/>
      </rPr>
      <t>abc</t>
    </r>
  </si>
  <si>
    <t>Switch Male→Female mid input, recalculate</t>
  </si>
  <si>
    <t>Result updates correctly using female formula</t>
  </si>
  <si>
    <r>
      <t>Female, Waist=</t>
    </r>
    <r>
      <rPr>
        <sz val="10"/>
        <color theme="1"/>
        <rFont val="Arial Unicode MS"/>
        <family val="2"/>
      </rPr>
      <t>70</t>
    </r>
    <r>
      <rPr>
        <sz val="12"/>
        <color theme="1"/>
        <rFont val="Aptos Narrow"/>
        <family val="2"/>
        <scheme val="minor"/>
      </rPr>
      <t>, Hip=</t>
    </r>
    <r>
      <rPr>
        <sz val="10"/>
        <color theme="1"/>
        <rFont val="Arial Unicode MS"/>
        <family val="2"/>
      </rPr>
      <t>0</t>
    </r>
    <r>
      <rPr>
        <sz val="12"/>
        <color theme="1"/>
        <rFont val="Aptos Narrow"/>
        <family val="2"/>
        <scheme val="minor"/>
      </rPr>
      <t>, Neck=</t>
    </r>
    <r>
      <rPr>
        <sz val="10"/>
        <color theme="1"/>
        <rFont val="Arial Unicode MS"/>
        <family val="2"/>
      </rPr>
      <t>71</t>
    </r>
    <r>
      <rPr>
        <sz val="12"/>
        <color theme="1"/>
        <rFont val="Aptos Narrow"/>
        <family val="2"/>
        <scheme val="minor"/>
      </rPr>
      <t xml:space="preserve"> (Waist+Hip=Neck)</t>
    </r>
  </si>
  <si>
    <t>Error: Waist+Hip must exceed neck</t>
  </si>
  <si>
    <r>
      <t>Female, Waist=</t>
    </r>
    <r>
      <rPr>
        <sz val="10"/>
        <color theme="1"/>
        <rFont val="Arial Unicode MS"/>
        <family val="2"/>
      </rPr>
      <t>70</t>
    </r>
    <r>
      <rPr>
        <sz val="12"/>
        <color theme="1"/>
        <rFont val="Aptos Narrow"/>
        <family val="2"/>
        <scheme val="minor"/>
      </rPr>
      <t>, Hip=</t>
    </r>
    <r>
      <rPr>
        <sz val="10"/>
        <color theme="1"/>
        <rFont val="Arial Unicode MS"/>
        <family val="2"/>
      </rPr>
      <t>1</t>
    </r>
    <r>
      <rPr>
        <sz val="12"/>
        <color theme="1"/>
        <rFont val="Aptos Narrow"/>
        <family val="2"/>
        <scheme val="minor"/>
      </rPr>
      <t>, Neck=</t>
    </r>
    <r>
      <rPr>
        <sz val="10"/>
        <color theme="1"/>
        <rFont val="Arial Unicode MS"/>
        <family val="2"/>
      </rPr>
      <t>71</t>
    </r>
    <r>
      <rPr>
        <sz val="12"/>
        <color theme="1"/>
        <rFont val="Aptos Narrow"/>
        <family val="2"/>
        <scheme val="minor"/>
      </rPr>
      <t xml:space="preserve"> (Waist+Hip exactly = Neck)</t>
    </r>
  </si>
  <si>
    <r>
      <t>Male, very large values Height=</t>
    </r>
    <r>
      <rPr>
        <sz val="10"/>
        <color theme="1"/>
        <rFont val="Arial Unicode MS"/>
        <family val="2"/>
      </rPr>
      <t>999</t>
    </r>
    <r>
      <rPr>
        <sz val="12"/>
        <color theme="1"/>
        <rFont val="Aptos Narrow"/>
        <family val="2"/>
        <scheme val="minor"/>
      </rPr>
      <t>, Neck=</t>
    </r>
    <r>
      <rPr>
        <sz val="10"/>
        <color theme="1"/>
        <rFont val="Arial Unicode MS"/>
        <family val="2"/>
      </rPr>
      <t>38</t>
    </r>
    <r>
      <rPr>
        <sz val="12"/>
        <color theme="1"/>
        <rFont val="Aptos Narrow"/>
        <family val="2"/>
        <scheme val="minor"/>
      </rPr>
      <t>, Waist=</t>
    </r>
    <r>
      <rPr>
        <sz val="10"/>
        <color theme="1"/>
        <rFont val="Arial Unicode MS"/>
        <family val="2"/>
      </rPr>
      <t>85</t>
    </r>
  </si>
  <si>
    <t>Male, inputs that produce result below 0%</t>
  </si>
  <si>
    <t>Negative body fat % — verify if error shown or absurd value displayed</t>
  </si>
  <si>
    <t>Male, inputs that produce result above 100%</t>
  </si>
  <si>
    <t>Above 100% body fat — verify if error shown or absurd value displayed</t>
  </si>
  <si>
    <t>Switch Female→Male after entering Hip value</t>
  </si>
  <si>
    <t>Hip value ignored in Male formula — verify no crash</t>
  </si>
  <si>
    <r>
      <t>Fat=</t>
    </r>
    <r>
      <rPr>
        <sz val="10"/>
        <color theme="1"/>
        <rFont val="Arial Unicode MS"/>
        <family val="2"/>
      </rPr>
      <t>10</t>
    </r>
    <r>
      <rPr>
        <sz val="12"/>
        <color theme="1"/>
        <rFont val="Aptos Narrow"/>
        <family val="2"/>
        <scheme val="minor"/>
      </rPr>
      <t>, Protein=</t>
    </r>
    <r>
      <rPr>
        <sz val="10"/>
        <color theme="1"/>
        <rFont val="Arial Unicode MS"/>
        <family val="2"/>
      </rPr>
      <t>20</t>
    </r>
    <r>
      <rPr>
        <sz val="12"/>
        <color theme="1"/>
        <rFont val="Aptos Narrow"/>
        <family val="2"/>
        <scheme val="minor"/>
      </rPr>
      <t>, Carbs=</t>
    </r>
    <r>
      <rPr>
        <sz val="10"/>
        <color theme="1"/>
        <rFont val="Arial Unicode MS"/>
        <family val="2"/>
      </rPr>
      <t>30</t>
    </r>
    <r>
      <rPr>
        <sz val="12"/>
        <color theme="1"/>
        <rFont val="Aptos Narrow"/>
        <family val="2"/>
        <scheme val="minor"/>
      </rPr>
      <t>, Alcohol=</t>
    </r>
    <r>
      <rPr>
        <sz val="10"/>
        <color theme="1"/>
        <rFont val="Arial Unicode MS"/>
        <family val="2"/>
      </rPr>
      <t>0</t>
    </r>
  </si>
  <si>
    <r>
      <t>Fat=</t>
    </r>
    <r>
      <rPr>
        <sz val="10"/>
        <color theme="1"/>
        <rFont val="Arial Unicode MS"/>
        <family val="2"/>
      </rPr>
      <t>90</t>
    </r>
    <r>
      <rPr>
        <sz val="12"/>
        <color theme="1"/>
        <rFont val="Aptos Narrow"/>
        <family val="2"/>
        <scheme val="minor"/>
      </rPr>
      <t>, Protein=</t>
    </r>
    <r>
      <rPr>
        <sz val="10"/>
        <color theme="1"/>
        <rFont val="Arial Unicode MS"/>
        <family val="2"/>
      </rPr>
      <t>80</t>
    </r>
    <r>
      <rPr>
        <sz val="12"/>
        <color theme="1"/>
        <rFont val="Aptos Narrow"/>
        <family val="2"/>
        <scheme val="minor"/>
      </rPr>
      <t>, Carbs=</t>
    </r>
    <r>
      <rPr>
        <sz val="10"/>
        <color theme="1"/>
        <rFont val="Arial Unicode MS"/>
        <family val="2"/>
      </rPr>
      <t>120</t>
    </r>
    <r>
      <rPr>
        <sz val="12"/>
        <color theme="1"/>
        <rFont val="Aptos Narrow"/>
        <family val="2"/>
        <scheme val="minor"/>
      </rPr>
      <t>, Total=</t>
    </r>
    <r>
      <rPr>
        <sz val="10"/>
        <color theme="1"/>
        <rFont val="Arial Unicode MS"/>
        <family val="2"/>
      </rPr>
      <t>290</t>
    </r>
    <r>
      <rPr>
        <sz val="12"/>
        <color theme="1"/>
        <rFont val="Aptos Narrow"/>
        <family val="2"/>
        <scheme val="minor"/>
      </rPr>
      <t xml:space="preserve"> kcal</t>
    </r>
  </si>
  <si>
    <r>
      <t xml:space="preserve">All fields </t>
    </r>
    <r>
      <rPr>
        <sz val="10"/>
        <color theme="1"/>
        <rFont val="Arial Unicode MS"/>
        <family val="2"/>
      </rPr>
      <t>0</t>
    </r>
  </si>
  <si>
    <r>
      <t>Total=</t>
    </r>
    <r>
      <rPr>
        <sz val="10"/>
        <color theme="1"/>
        <rFont val="Arial Unicode MS"/>
        <family val="2"/>
      </rPr>
      <t>0</t>
    </r>
    <r>
      <rPr>
        <sz val="12"/>
        <color theme="1"/>
        <rFont val="Aptos Narrow"/>
        <family val="2"/>
        <scheme val="minor"/>
      </rPr>
      <t xml:space="preserve"> kcal, no crash</t>
    </r>
  </si>
  <si>
    <r>
      <t>Only Fat=</t>
    </r>
    <r>
      <rPr>
        <sz val="10"/>
        <color theme="1"/>
        <rFont val="Arial Unicode MS"/>
        <family val="2"/>
      </rPr>
      <t>10</t>
    </r>
    <r>
      <rPr>
        <sz val="12"/>
        <color theme="1"/>
        <rFont val="Aptos Narrow"/>
        <family val="2"/>
        <scheme val="minor"/>
      </rPr>
      <t>, rest empty</t>
    </r>
  </si>
  <si>
    <r>
      <t>Fat=</t>
    </r>
    <r>
      <rPr>
        <sz val="10"/>
        <color theme="1"/>
        <rFont val="Arial Unicode MS"/>
        <family val="2"/>
      </rPr>
      <t>90</t>
    </r>
    <r>
      <rPr>
        <sz val="12"/>
        <color theme="1"/>
        <rFont val="Aptos Narrow"/>
        <family val="2"/>
        <scheme val="minor"/>
      </rPr>
      <t>, Total=</t>
    </r>
    <r>
      <rPr>
        <sz val="10"/>
        <color theme="1"/>
        <rFont val="Arial Unicode MS"/>
        <family val="2"/>
      </rPr>
      <t>90</t>
    </r>
    <r>
      <rPr>
        <sz val="12"/>
        <color theme="1"/>
        <rFont val="Aptos Narrow"/>
        <family val="2"/>
        <scheme val="minor"/>
      </rPr>
      <t xml:space="preserve"> kcal — verify empty treated as </t>
    </r>
    <r>
      <rPr>
        <sz val="10"/>
        <color theme="1"/>
        <rFont val="Arial Unicode MS"/>
        <family val="2"/>
      </rPr>
      <t>0</t>
    </r>
  </si>
  <si>
    <r>
      <t>Negative Fat=</t>
    </r>
    <r>
      <rPr>
        <sz val="10"/>
        <color theme="1"/>
        <rFont val="Arial Unicode MS"/>
        <family val="2"/>
      </rPr>
      <t>-10</t>
    </r>
  </si>
  <si>
    <t>Error: Macro grams cannot be negative</t>
  </si>
  <si>
    <r>
      <t>Negative Alcohol=</t>
    </r>
    <r>
      <rPr>
        <sz val="10"/>
        <color theme="1"/>
        <rFont val="Arial Unicode MS"/>
        <family val="2"/>
      </rPr>
      <t>-5</t>
    </r>
  </si>
  <si>
    <r>
      <t>Fat=</t>
    </r>
    <r>
      <rPr>
        <sz val="10"/>
        <color theme="1"/>
        <rFont val="Arial Unicode MS"/>
        <family val="2"/>
      </rPr>
      <t>abc</t>
    </r>
  </si>
  <si>
    <r>
      <t>Fat=</t>
    </r>
    <r>
      <rPr>
        <sz val="10"/>
        <color theme="1"/>
        <rFont val="Arial Unicode MS"/>
        <family val="2"/>
      </rPr>
      <t>9999</t>
    </r>
    <r>
      <rPr>
        <sz val="12"/>
        <color theme="1"/>
        <rFont val="Aptos Narrow"/>
        <family val="2"/>
        <scheme val="minor"/>
      </rPr>
      <t>, Protein=</t>
    </r>
    <r>
      <rPr>
        <sz val="10"/>
        <color theme="1"/>
        <rFont val="Arial Unicode MS"/>
        <family val="2"/>
      </rPr>
      <t>9999</t>
    </r>
    <r>
      <rPr>
        <sz val="12"/>
        <color theme="1"/>
        <rFont val="Aptos Narrow"/>
        <family val="2"/>
        <scheme val="minor"/>
      </rPr>
      <t>, Carbs=</t>
    </r>
    <r>
      <rPr>
        <sz val="10"/>
        <color theme="1"/>
        <rFont val="Arial Unicode MS"/>
        <family val="2"/>
      </rPr>
      <t>9999</t>
    </r>
    <r>
      <rPr>
        <sz val="12"/>
        <color theme="1"/>
        <rFont val="Aptos Narrow"/>
        <family val="2"/>
        <scheme val="minor"/>
      </rPr>
      <t>, Alcohol=</t>
    </r>
    <r>
      <rPr>
        <sz val="10"/>
        <color theme="1"/>
        <rFont val="Arial Unicode MS"/>
        <family val="2"/>
      </rPr>
      <t>9999</t>
    </r>
  </si>
  <si>
    <t>Very large total shown, no crash</t>
  </si>
  <si>
    <r>
      <t>Fat=</t>
    </r>
    <r>
      <rPr>
        <sz val="10"/>
        <color theme="1"/>
        <rFont val="Arial Unicode MS"/>
        <family val="2"/>
      </rPr>
      <t>0.5</t>
    </r>
    <r>
      <rPr>
        <sz val="12"/>
        <color theme="1"/>
        <rFont val="Aptos Narrow"/>
        <family val="2"/>
        <scheme val="minor"/>
      </rPr>
      <t>, Protein=</t>
    </r>
    <r>
      <rPr>
        <sz val="10"/>
        <color theme="1"/>
        <rFont val="Arial Unicode MS"/>
        <family val="2"/>
      </rPr>
      <t>0.5</t>
    </r>
    <r>
      <rPr>
        <sz val="12"/>
        <color theme="1"/>
        <rFont val="Aptos Narrow"/>
        <family val="2"/>
        <scheme val="minor"/>
      </rPr>
      <t>, Carbs=</t>
    </r>
    <r>
      <rPr>
        <sz val="10"/>
        <color theme="1"/>
        <rFont val="Arial Unicode MS"/>
        <family val="2"/>
      </rPr>
      <t>0.5</t>
    </r>
    <r>
      <rPr>
        <sz val="12"/>
        <color theme="1"/>
        <rFont val="Aptos Narrow"/>
        <family val="2"/>
        <scheme val="minor"/>
      </rPr>
      <t>, Alcohol=</t>
    </r>
    <r>
      <rPr>
        <sz val="10"/>
        <color theme="1"/>
        <rFont val="Arial Unicode MS"/>
        <family val="2"/>
      </rPr>
      <t>0.5</t>
    </r>
  </si>
  <si>
    <r>
      <t>Fat=</t>
    </r>
    <r>
      <rPr>
        <sz val="10"/>
        <color theme="1"/>
        <rFont val="Arial Unicode MS"/>
        <family val="2"/>
      </rPr>
      <t>4.5</t>
    </r>
    <r>
      <rPr>
        <sz val="12"/>
        <color theme="1"/>
        <rFont val="Aptos Narrow"/>
        <family val="2"/>
        <scheme val="minor"/>
      </rPr>
      <t>, Protein=</t>
    </r>
    <r>
      <rPr>
        <sz val="10"/>
        <color theme="1"/>
        <rFont val="Arial Unicode MS"/>
        <family val="2"/>
      </rPr>
      <t>2</t>
    </r>
    <r>
      <rPr>
        <sz val="12"/>
        <color theme="1"/>
        <rFont val="Aptos Narrow"/>
        <family val="2"/>
        <scheme val="minor"/>
      </rPr>
      <t>, Carbs=</t>
    </r>
    <r>
      <rPr>
        <sz val="10"/>
        <color theme="1"/>
        <rFont val="Arial Unicode MS"/>
        <family val="2"/>
      </rPr>
      <t>2</t>
    </r>
    <r>
      <rPr>
        <sz val="12"/>
        <color theme="1"/>
        <rFont val="Aptos Narrow"/>
        <family val="2"/>
        <scheme val="minor"/>
      </rPr>
      <t>, Alcohol=</t>
    </r>
    <r>
      <rPr>
        <sz val="10"/>
        <color theme="1"/>
        <rFont val="Arial Unicode MS"/>
        <family val="2"/>
      </rPr>
      <t>3.5</t>
    </r>
    <r>
      <rPr>
        <sz val="12"/>
        <color theme="1"/>
        <rFont val="Aptos Narrow"/>
        <family val="2"/>
        <scheme val="minor"/>
      </rPr>
      <t>, Total=</t>
    </r>
    <r>
      <rPr>
        <sz val="10"/>
        <color theme="1"/>
        <rFont val="Arial Unicode MS"/>
        <family val="2"/>
      </rPr>
      <t>12</t>
    </r>
    <r>
      <rPr>
        <sz val="12"/>
        <color theme="1"/>
        <rFont val="Aptos Narrow"/>
        <family val="2"/>
        <scheme val="minor"/>
      </rPr>
      <t xml:space="preserve"> kcal</t>
    </r>
  </si>
  <si>
    <t>All fields empty, press Calculate</t>
  </si>
  <si>
    <r>
      <t>Invalid input</t>
    </r>
    <r>
      <rPr>
        <sz val="12"/>
        <color theme="1"/>
        <rFont val="Aptos Narrow"/>
        <family val="2"/>
        <scheme val="minor"/>
      </rPr>
      <t xml:space="preserve"> or </t>
    </r>
    <r>
      <rPr>
        <sz val="10"/>
        <color theme="1"/>
        <rFont val="Arial Unicode MS"/>
        <family val="2"/>
      </rPr>
      <t>0 kcal</t>
    </r>
    <r>
      <rPr>
        <sz val="12"/>
        <color theme="1"/>
        <rFont val="Aptos Narrow"/>
        <family val="2"/>
        <scheme val="minor"/>
      </rPr>
      <t>, no crash</t>
    </r>
  </si>
  <si>
    <t>Press Enter after filling fields</t>
  </si>
  <si>
    <r>
      <t>Fat=</t>
    </r>
    <r>
      <rPr>
        <sz val="10"/>
        <color theme="1"/>
        <rFont val="Arial Unicode MS"/>
        <family val="2"/>
      </rPr>
      <t>0.1</t>
    </r>
    <r>
      <rPr>
        <sz val="12"/>
        <color theme="1"/>
        <rFont val="Aptos Narrow"/>
        <family val="2"/>
        <scheme val="minor"/>
      </rPr>
      <t>, Protein=</t>
    </r>
    <r>
      <rPr>
        <sz val="10"/>
        <color theme="1"/>
        <rFont val="Arial Unicode MS"/>
        <family val="2"/>
      </rPr>
      <t>0.1</t>
    </r>
    <r>
      <rPr>
        <sz val="12"/>
        <color theme="1"/>
        <rFont val="Aptos Narrow"/>
        <family val="2"/>
        <scheme val="minor"/>
      </rPr>
      <t>, Carbs=</t>
    </r>
    <r>
      <rPr>
        <sz val="10"/>
        <color theme="1"/>
        <rFont val="Arial Unicode MS"/>
        <family val="2"/>
      </rPr>
      <t>0.1</t>
    </r>
    <r>
      <rPr>
        <sz val="12"/>
        <color theme="1"/>
        <rFont val="Aptos Narrow"/>
        <family val="2"/>
        <scheme val="minor"/>
      </rPr>
      <t>, Alcohol=</t>
    </r>
    <r>
      <rPr>
        <sz val="10"/>
        <color theme="1"/>
        <rFont val="Arial Unicode MS"/>
        <family val="2"/>
      </rPr>
      <t>0.1</t>
    </r>
  </si>
  <si>
    <r>
      <t>Fat=</t>
    </r>
    <r>
      <rPr>
        <sz val="10"/>
        <color theme="1"/>
        <rFont val="Arial Unicode MS"/>
        <family val="2"/>
      </rPr>
      <t>0.9</t>
    </r>
    <r>
      <rPr>
        <sz val="12"/>
        <color theme="1"/>
        <rFont val="Aptos Narrow"/>
        <family val="2"/>
        <scheme val="minor"/>
      </rPr>
      <t>, Protein=</t>
    </r>
    <r>
      <rPr>
        <sz val="10"/>
        <color theme="1"/>
        <rFont val="Arial Unicode MS"/>
        <family val="2"/>
      </rPr>
      <t>0.4</t>
    </r>
    <r>
      <rPr>
        <sz val="12"/>
        <color theme="1"/>
        <rFont val="Aptos Narrow"/>
        <family val="2"/>
        <scheme val="minor"/>
      </rPr>
      <t>, Carbs=</t>
    </r>
    <r>
      <rPr>
        <sz val="10"/>
        <color theme="1"/>
        <rFont val="Arial Unicode MS"/>
        <family val="2"/>
      </rPr>
      <t>0.4</t>
    </r>
    <r>
      <rPr>
        <sz val="12"/>
        <color theme="1"/>
        <rFont val="Aptos Narrow"/>
        <family val="2"/>
        <scheme val="minor"/>
      </rPr>
      <t>, Alcohol=</t>
    </r>
    <r>
      <rPr>
        <sz val="10"/>
        <color theme="1"/>
        <rFont val="Arial Unicode MS"/>
        <family val="2"/>
      </rPr>
      <t>0.7</t>
    </r>
    <r>
      <rPr>
        <sz val="12"/>
        <color theme="1"/>
        <rFont val="Aptos Narrow"/>
        <family val="2"/>
        <scheme val="minor"/>
      </rPr>
      <t>, Total=</t>
    </r>
    <r>
      <rPr>
        <sz val="10"/>
        <color theme="1"/>
        <rFont val="Arial Unicode MS"/>
        <family val="2"/>
      </rPr>
      <t>2.4</t>
    </r>
    <r>
      <rPr>
        <sz val="12"/>
        <color theme="1"/>
        <rFont val="Aptos Narrow"/>
        <family val="2"/>
        <scheme val="minor"/>
      </rPr>
      <t xml:space="preserve"> kcal</t>
    </r>
  </si>
  <si>
    <r>
      <t>Only Alcohol=</t>
    </r>
    <r>
      <rPr>
        <sz val="10"/>
        <color theme="1"/>
        <rFont val="Arial Unicode MS"/>
        <family val="2"/>
      </rPr>
      <t>10</t>
    </r>
    <r>
      <rPr>
        <sz val="12"/>
        <color theme="1"/>
        <rFont val="Aptos Narrow"/>
        <family val="2"/>
        <scheme val="minor"/>
      </rPr>
      <t>, rest empty</t>
    </r>
  </si>
  <si>
    <r>
      <t>Alcohol=</t>
    </r>
    <r>
      <rPr>
        <sz val="10"/>
        <color theme="1"/>
        <rFont val="Arial Unicode MS"/>
        <family val="2"/>
      </rPr>
      <t>70</t>
    </r>
    <r>
      <rPr>
        <sz val="12"/>
        <color theme="1"/>
        <rFont val="Aptos Narrow"/>
        <family val="2"/>
        <scheme val="minor"/>
      </rPr>
      <t>, Total=</t>
    </r>
    <r>
      <rPr>
        <sz val="10"/>
        <color theme="1"/>
        <rFont val="Arial Unicode MS"/>
        <family val="2"/>
      </rPr>
      <t>70</t>
    </r>
    <r>
      <rPr>
        <sz val="12"/>
        <color theme="1"/>
        <rFont val="Aptos Narrow"/>
        <family val="2"/>
        <scheme val="minor"/>
      </rPr>
      <t xml:space="preserve"> kcal — verify empty treated as </t>
    </r>
    <r>
      <rPr>
        <sz val="10"/>
        <color theme="1"/>
        <rFont val="Arial Unicode MS"/>
        <family val="2"/>
      </rPr>
      <t>0</t>
    </r>
  </si>
  <si>
    <t>Fill fields, press Clear, recalculate with new values</t>
  </si>
  <si>
    <r>
      <t>Fat=</t>
    </r>
    <r>
      <rPr>
        <sz val="10"/>
        <color theme="1"/>
        <rFont val="Arial Unicode MS"/>
        <family val="2"/>
      </rPr>
      <t>999999</t>
    </r>
    <r>
      <rPr>
        <sz val="12"/>
        <color theme="1"/>
        <rFont val="Aptos Narrow"/>
        <family val="2"/>
        <scheme val="minor"/>
      </rPr>
      <t>, Protein=</t>
    </r>
    <r>
      <rPr>
        <sz val="10"/>
        <color theme="1"/>
        <rFont val="Arial Unicode MS"/>
        <family val="2"/>
      </rPr>
      <t>0</t>
    </r>
    <r>
      <rPr>
        <sz val="12"/>
        <color theme="1"/>
        <rFont val="Aptos Narrow"/>
        <family val="2"/>
        <scheme val="minor"/>
      </rPr>
      <t>, Carbs=</t>
    </r>
    <r>
      <rPr>
        <sz val="10"/>
        <color theme="1"/>
        <rFont val="Arial Unicode MS"/>
        <family val="2"/>
      </rPr>
      <t>0</t>
    </r>
    <r>
      <rPr>
        <sz val="12"/>
        <color theme="1"/>
        <rFont val="Aptos Narrow"/>
        <family val="2"/>
        <scheme val="minor"/>
      </rPr>
      <t>, Alcohol=</t>
    </r>
    <r>
      <rPr>
        <sz val="10"/>
        <color theme="1"/>
        <rFont val="Arial Unicode MS"/>
        <family val="2"/>
      </rPr>
      <t>0</t>
    </r>
  </si>
  <si>
    <r>
      <t>Total=</t>
    </r>
    <r>
      <rPr>
        <sz val="10"/>
        <color theme="1"/>
        <rFont val="Arial Unicode MS"/>
        <family val="2"/>
      </rPr>
      <t>8999991</t>
    </r>
    <r>
      <rPr>
        <sz val="12"/>
        <color theme="1"/>
        <rFont val="Aptos Narrow"/>
        <family val="2"/>
        <scheme val="minor"/>
      </rPr>
      <t xml:space="preserve"> kcal, no crash, no scientific notation issues</t>
    </r>
  </si>
  <si>
    <t>TC-H-BMI-016</t>
  </si>
  <si>
    <r>
      <t>Weight=</t>
    </r>
    <r>
      <rPr>
        <sz val="10"/>
        <color theme="1"/>
        <rFont val="Arial Unicode MS"/>
        <family val="2"/>
      </rPr>
      <t>70</t>
    </r>
    <r>
      <rPr>
        <sz val="12"/>
        <color theme="1"/>
        <rFont val="Aptos Narrow"/>
        <family val="2"/>
        <scheme val="minor"/>
      </rPr>
      <t>, Height=</t>
    </r>
    <r>
      <rPr>
        <sz val="10"/>
        <color theme="1"/>
        <rFont val="Arial Unicode MS"/>
        <family val="2"/>
      </rPr>
      <t>175</t>
    </r>
    <r>
      <rPr>
        <sz val="12"/>
        <color theme="1"/>
        <rFont val="Aptos Narrow"/>
        <family val="2"/>
        <scheme val="minor"/>
      </rPr>
      <t xml:space="preserve">, calculate, then change Height to </t>
    </r>
    <r>
      <rPr>
        <sz val="10"/>
        <color theme="1"/>
        <rFont val="Arial Unicode MS"/>
        <family val="2"/>
      </rPr>
      <t>180</t>
    </r>
    <r>
      <rPr>
        <sz val="12"/>
        <color theme="1"/>
        <rFont val="Aptos Narrow"/>
        <family val="2"/>
        <scheme val="minor"/>
      </rPr>
      <t xml:space="preserve"> and calculate again without pressing Clear</t>
    </r>
  </si>
  <si>
    <r>
      <t>Previous result replaced correctly with new BMI=</t>
    </r>
    <r>
      <rPr>
        <sz val="10"/>
        <color theme="1"/>
        <rFont val="Arial Unicode MS"/>
        <family val="2"/>
      </rPr>
      <t>21.60</t>
    </r>
    <r>
      <rPr>
        <sz val="12"/>
        <color theme="1"/>
        <rFont val="Aptos Narrow"/>
        <family val="2"/>
        <scheme val="minor"/>
      </rPr>
      <t xml:space="preserve"> → Normal weight — verify display updates and does not stack old result</t>
    </r>
  </si>
  <si>
    <t>Statistics</t>
  </si>
  <si>
    <t>Health</t>
  </si>
  <si>
    <t>BMI</t>
  </si>
  <si>
    <t>BMR</t>
  </si>
  <si>
    <t>Calories</t>
  </si>
  <si>
    <t>Body Fat</t>
  </si>
  <si>
    <t>BMI: 0.01  →  Underweight</t>
  </si>
  <si>
    <r>
      <t>BMI=</t>
    </r>
    <r>
      <rPr>
        <sz val="10"/>
        <color theme="1"/>
        <rFont val="Arial Unicode MS"/>
        <family val="2"/>
      </rPr>
      <t>18.44</t>
    </r>
    <r>
      <rPr>
        <sz val="12"/>
        <color theme="1"/>
        <rFont val="Aptos Narrow"/>
        <family val="2"/>
        <scheme val="minor"/>
      </rPr>
      <t xml:space="preserve"> → Under weight (just below 18.5 boundary)</t>
    </r>
  </si>
  <si>
    <r>
      <t>BMR=</t>
    </r>
    <r>
      <rPr>
        <sz val="10"/>
        <color theme="1"/>
        <rFont val="Arial Unicode MS"/>
        <family val="2"/>
      </rPr>
      <t>1673.8</t>
    </r>
    <r>
      <rPr>
        <sz val="12"/>
        <color theme="1"/>
        <rFont val="Aptos Narrow"/>
        <family val="2"/>
        <scheme val="minor"/>
      </rPr>
      <t xml:space="preserve"> kcal/day, all 4 activity levels shown</t>
    </r>
  </si>
  <si>
    <r>
      <t>BMR=</t>
    </r>
    <r>
      <rPr>
        <sz val="10"/>
        <color theme="1"/>
        <rFont val="Arial Unicode MS"/>
        <family val="2"/>
      </rPr>
      <t>1320</t>
    </r>
    <r>
      <rPr>
        <sz val="12"/>
        <color theme="1"/>
        <rFont val="Aptos Narrow"/>
        <family val="2"/>
        <scheme val="minor"/>
      </rPr>
      <t xml:space="preserve"> kcal/day</t>
    </r>
  </si>
  <si>
    <r>
      <t>Weight=</t>
    </r>
    <r>
      <rPr>
        <sz val="10"/>
        <color theme="1"/>
        <rFont val="Arial Unicode MS"/>
        <family val="2"/>
      </rPr>
      <t>-70</t>
    </r>
    <r>
      <rPr>
        <sz val="12"/>
        <color theme="1"/>
        <rFont val="Aptos Narrow"/>
        <family val="2"/>
        <scheme val="minor"/>
      </rPr>
      <t>, Height=</t>
    </r>
    <r>
      <rPr>
        <sz val="10"/>
        <color theme="1"/>
        <rFont val="Arial Unicode MS"/>
        <family val="2"/>
      </rPr>
      <t>175</t>
    </r>
    <r>
      <rPr>
        <sz val="12"/>
        <color theme="1"/>
        <rFont val="Aptos Narrow"/>
        <family val="2"/>
        <scheme val="minor"/>
      </rPr>
      <t>, Age=</t>
    </r>
    <r>
      <rPr>
        <sz val="10"/>
        <color theme="1"/>
        <rFont val="Arial Unicode MS"/>
        <family val="2"/>
      </rPr>
      <t>25</t>
    </r>
    <r>
      <rPr>
        <sz val="12"/>
        <color theme="1"/>
        <rFont val="Aptos Narrow"/>
        <family val="2"/>
        <scheme val="minor"/>
      </rPr>
      <t>, Female</t>
    </r>
  </si>
  <si>
    <t>Error: could not convert string to float: ''</t>
  </si>
  <si>
    <t>No Clear Button</t>
  </si>
  <si>
    <t>TC-F-SI-001</t>
  </si>
  <si>
    <t>P=10000, R=5, T=2, Years</t>
  </si>
  <si>
    <t>Interest=1000, Total=11000</t>
  </si>
  <si>
    <t>TC-F-SI-002</t>
  </si>
  <si>
    <t>P=10000, R=5, T=24, Months</t>
  </si>
  <si>
    <t>TC-F-SI-003</t>
  </si>
  <si>
    <t>P=0, R=5, T=2</t>
  </si>
  <si>
    <t>Error: Values must be non-negative</t>
  </si>
  <si>
    <t>TC-F-SI-004</t>
  </si>
  <si>
    <t>P=10000, R=0, T=2</t>
  </si>
  <si>
    <t>Interest=0, Total=10000</t>
  </si>
  <si>
    <t>TC-F-SI-005</t>
  </si>
  <si>
    <t>P=10000, R=5, T=0</t>
  </si>
  <si>
    <t>TC-F-SI-006</t>
  </si>
  <si>
    <t>P=-10000, R=5, T=2</t>
  </si>
  <si>
    <t>TC-F-SI-007</t>
  </si>
  <si>
    <t>P=10000, R=-5, T=2</t>
  </si>
  <si>
    <t>TC-F-SI-008</t>
  </si>
  <si>
    <t>P=10000, R=5, T=-2</t>
  </si>
  <si>
    <t>TC-F-SI-009</t>
  </si>
  <si>
    <t>P=abc, R=5, T=2</t>
  </si>
  <si>
    <t>Invalid input, no crash</t>
  </si>
  <si>
    <t>TC-F-SI-010</t>
  </si>
  <si>
    <t>All fields empty, click Calculate</t>
  </si>
  <si>
    <t>TC-F-SI-011</t>
  </si>
  <si>
    <t>P=10000, R=5, T=1.5, Months</t>
  </si>
  <si>
    <t>Fractional months computed — verify result is correct (not silently wrong)</t>
  </si>
  <si>
    <t>TC-F-SI-012</t>
  </si>
  <si>
    <t>P=999999999, R=99.99, T=100, Years</t>
  </si>
  <si>
    <t>Large values — no crash, result displayed</t>
  </si>
  <si>
    <t>P=10000, R=5, T=2, N=12</t>
  </si>
  <si>
    <t>P=10000, R=5, T=2, N=1</t>
  </si>
  <si>
    <t>Interest=1025, Total=11025</t>
  </si>
  <si>
    <t>P=10000, R=5, T=2, N=365</t>
  </si>
  <si>
    <t>P=10000, R=0, T=2, N=12</t>
  </si>
  <si>
    <t>P=10000, R=5, T=0, N=12</t>
  </si>
  <si>
    <t>P=10000, R=5, T=2, N=0</t>
  </si>
  <si>
    <t>Error: Compounding periods must be &gt;0</t>
  </si>
  <si>
    <t>P=10000, R=5, T=2, N=-1</t>
  </si>
  <si>
    <t>P=-10000, R=5, T=2, N=12</t>
  </si>
  <si>
    <t>P=abc, R=5, T=2, N=12</t>
  </si>
  <si>
    <t>P=10000, R=5, T=2, N=0.5</t>
  </si>
  <si>
    <t>P=10000, R=5, T=-2, N=12</t>
  </si>
  <si>
    <t>Negative time — no guard in code, verify error shown not silent wrong result</t>
  </si>
  <si>
    <t>No crash</t>
  </si>
  <si>
    <t>TC-F-CI-013</t>
  </si>
  <si>
    <t>N=12 vs N=365, same P/R/T</t>
  </si>
  <si>
    <t>Daily compounding gives higher interest than monthly</t>
  </si>
  <si>
    <t>P=100000, R=10, T=12, Months</t>
  </si>
  <si>
    <t>EMI=8791.59/month, Total=105499.08</t>
  </si>
  <si>
    <t>P=100000, R=10, T=1, Years</t>
  </si>
  <si>
    <t>Same as TC-F-EMI-001</t>
  </si>
  <si>
    <t>P=100000, R=0, T=12, Months</t>
  </si>
  <si>
    <t>EMI=8333.33/month</t>
  </si>
  <si>
    <t>P=100000, R=10, T=0, Months</t>
  </si>
  <si>
    <t>Error: Tenure must be &gt; 0</t>
  </si>
  <si>
    <t>P=100000, R=10, T=-12, Months</t>
  </si>
  <si>
    <t>P=100000, R=10, T=1.5, Months</t>
  </si>
  <si>
    <t>Error: Tenure in months must be a whole number</t>
  </si>
  <si>
    <t>P=100000, R=10, T=1.5, Years</t>
  </si>
  <si>
    <t>18 months — valid, EMI calculated correctly</t>
  </si>
  <si>
    <t>P=100000, R=10, T=0.3, Years</t>
  </si>
  <si>
    <t>3.6 months — no guard, verify not silently truncated or wrong</t>
  </si>
  <si>
    <t>P=0, R=10, T=12, Months</t>
  </si>
  <si>
    <t>EMI=0, Total=0</t>
  </si>
  <si>
    <t>P=100000, R=-10, T=12, Months</t>
  </si>
  <si>
    <t>Negative rate — no guard in code, verify error shown not silent wrong result</t>
  </si>
  <si>
    <t>P=abc, R=10, T=12</t>
  </si>
  <si>
    <t>P=10000000, R=8.5, T=240, Months</t>
  </si>
  <si>
    <t>Large loan — no crash, correct EMI shown</t>
  </si>
  <si>
    <t>Investment=10000, Returns=12000</t>
  </si>
  <si>
    <t>ROI=20%, Gain=2000</t>
  </si>
  <si>
    <t>Investment=10000, Returns=8000</t>
  </si>
  <si>
    <t>ROI=-20%, Loss=2000</t>
  </si>
  <si>
    <t>Investment=10000, Returns=10000</t>
  </si>
  <si>
    <t>ROI=0%</t>
  </si>
  <si>
    <t>Investment=0, Returns=12000</t>
  </si>
  <si>
    <t>Error: Initial investment must be greater than zero</t>
  </si>
  <si>
    <t>Investment=-10000, Returns=12000</t>
  </si>
  <si>
    <t>Investment=10000, Returns=0</t>
  </si>
  <si>
    <t>ROI=-100%, Loss=10000</t>
  </si>
  <si>
    <t>Investment=10000, Returns=-5000</t>
  </si>
  <si>
    <t>ROI=-150% — verify negative returns handled, no crash</t>
  </si>
  <si>
    <t>Investment=abc, Returns=12000</t>
  </si>
  <si>
    <t>Returns field empty, Investment=10000</t>
  </si>
  <si>
    <t>Investment=0.01, Returns=0.02</t>
  </si>
  <si>
    <t>ROI=100% — small decimals work</t>
  </si>
  <si>
    <t>Investment=999999999, Returns=1999999998</t>
  </si>
  <si>
    <t>ROI=100% — large values no crash</t>
  </si>
  <si>
    <t>Price=1000, Discount=10</t>
  </si>
  <si>
    <t>Discount=100, Final=900</t>
  </si>
  <si>
    <t>Price=1000, Discount=0</t>
  </si>
  <si>
    <t>Discount=0, Final=1000</t>
  </si>
  <si>
    <t>Price=1000, Discount=100</t>
  </si>
  <si>
    <t>Discount=1000, Final=0</t>
  </si>
  <si>
    <t>Price=1000, Discount=101</t>
  </si>
  <si>
    <t>Error: Discount must be 0–100%</t>
  </si>
  <si>
    <t>Price=1000, Discount=-10</t>
  </si>
  <si>
    <t>Price=0, Discount=10</t>
  </si>
  <si>
    <t>Discount=0, Final=0</t>
  </si>
  <si>
    <t>Price=-1000, Discount=10</t>
  </si>
  <si>
    <t>No guard in code — verify error shown, not silent wrong result</t>
  </si>
  <si>
    <t>Price=abc, Discount=10</t>
  </si>
  <si>
    <t>Price field empty, Discount=10</t>
  </si>
  <si>
    <t>Price=1000, Discount=50.5</t>
  </si>
  <si>
    <t>Discount=505, Final=495</t>
  </si>
  <si>
    <t>Price=999999999, Discount=99.99</t>
  </si>
  <si>
    <t>Large price — no crash, correct result</t>
  </si>
  <si>
    <t>FV tab: PV=1000, I/Y=5, N=10, PMT=0</t>
  </si>
  <si>
    <t>FV=-1628.8945</t>
  </si>
  <si>
    <t>PV tab: FV=1628.89, I/Y=5, N=10, PMT=0</t>
  </si>
  <si>
    <t>PV≈-1000</t>
  </si>
  <si>
    <t>PMT tab: PV=100000, FV=0, I/Y=10, N=12</t>
  </si>
  <si>
    <t>PMT=-8791.59</t>
  </si>
  <si>
    <t>N tab: PV=-1000, FV=1628.89, I/Y=5, PMT=0</t>
  </si>
  <si>
    <t>I/Y tab: PV=-1000, FV=1628.89, N=10, PMT=0</t>
  </si>
  <si>
    <t>FV tab: all fields 0</t>
  </si>
  <si>
    <t>FV tab: I/Y=0, PV=1000, N=10, PMT=100</t>
  </si>
  <si>
    <t>N tab: PV=0, FV=0, I/Y=5, PMT=0</t>
  </si>
  <si>
    <t>inf or Error — no crash</t>
  </si>
  <si>
    <t>I/Y tab: PV=abc, other fields valid</t>
  </si>
  <si>
    <t>Any tab: all fields empty, click Calculate</t>
  </si>
  <si>
    <t>I/Y tab: PV and FV same sign, no PMT</t>
  </si>
  <si>
    <t>Switch all 5 tabs rapidly</t>
  </si>
  <si>
    <t>No crash, each tab loads clean</t>
  </si>
  <si>
    <t>Simple Interest</t>
  </si>
  <si>
    <t>Compound Interest</t>
  </si>
  <si>
    <t>EMI</t>
  </si>
  <si>
    <t>ROI</t>
  </si>
  <si>
    <t>TVM</t>
  </si>
  <si>
    <t>DISCOUNT</t>
  </si>
  <si>
    <t>doesn’t reset need clear all button</t>
  </si>
  <si>
    <t>Interest=1049.41, Total=11049.41</t>
  </si>
  <si>
    <t>Output box doesn’t update</t>
  </si>
  <si>
    <t>Angle field empty, press Calculate</t>
  </si>
  <si>
    <t>Error: sides must be &gt; 0</t>
  </si>
  <si>
    <t>Error: hypotenuse must be greater than a</t>
  </si>
  <si>
    <t>Error: must be &gt; 0</t>
  </si>
  <si>
    <t>Error: c must be &gt; 0</t>
  </si>
  <si>
    <t>Error: b cannot be greater than c</t>
  </si>
  <si>
    <t>Error: b cannot be zero</t>
  </si>
  <si>
    <t>TC-TV-001</t>
  </si>
  <si>
    <t>TC-TV-002</t>
  </si>
  <si>
    <t>TC-TV-003</t>
  </si>
  <si>
    <t>TC-TV-004</t>
  </si>
  <si>
    <t>TC-TV-005</t>
  </si>
  <si>
    <t>TC-TV-006</t>
  </si>
  <si>
    <t>TC-TV-007</t>
  </si>
  <si>
    <t>TC-TV-008</t>
  </si>
  <si>
    <t>TC-TV-009</t>
  </si>
  <si>
    <t>TC-TV-010</t>
  </si>
  <si>
    <t>TC-TV-011</t>
  </si>
  <si>
    <t>TC-TV-012</t>
  </si>
  <si>
    <t>TC-TV-013</t>
  </si>
  <si>
    <t>TC-TV-014</t>
  </si>
  <si>
    <t>TC-TV-015</t>
  </si>
  <si>
    <t>TC-TV-016</t>
  </si>
  <si>
    <t>Trig Values</t>
  </si>
  <si>
    <t>Find Sides</t>
  </si>
  <si>
    <t>Find Angles</t>
  </si>
  <si>
    <t>TC-TV-017</t>
  </si>
  <si>
    <r>
      <t>Angle=</t>
    </r>
    <r>
      <rPr>
        <sz val="10"/>
        <color theme="1"/>
        <rFont val="Arial Unicode MS"/>
        <family val="2"/>
      </rPr>
      <t>0</t>
    </r>
    <r>
      <rPr>
        <sz val="12"/>
        <color theme="1"/>
        <rFont val="Aptos Narrow"/>
        <family val="2"/>
        <scheme val="minor"/>
      </rPr>
      <t>, DEG — all 9 boxes</t>
    </r>
  </si>
  <si>
    <r>
      <t>sin=</t>
    </r>
    <r>
      <rPr>
        <sz val="10"/>
        <color theme="1"/>
        <rFont val="Arial Unicode MS"/>
        <family val="2"/>
      </rPr>
      <t>0</t>
    </r>
    <r>
      <rPr>
        <sz val="12"/>
        <color theme="1"/>
        <rFont val="Aptos Narrow"/>
        <family val="2"/>
        <scheme val="minor"/>
      </rPr>
      <t>, cos=</t>
    </r>
    <r>
      <rPr>
        <sz val="10"/>
        <color theme="1"/>
        <rFont val="Arial Unicode MS"/>
        <family val="2"/>
      </rPr>
      <t>1</t>
    </r>
    <r>
      <rPr>
        <sz val="12"/>
        <color theme="1"/>
        <rFont val="Aptos Narrow"/>
        <family val="2"/>
        <scheme val="minor"/>
      </rPr>
      <t>, tan=</t>
    </r>
    <r>
      <rPr>
        <sz val="10"/>
        <color theme="1"/>
        <rFont val="Arial Unicode MS"/>
        <family val="2"/>
      </rPr>
      <t>0</t>
    </r>
    <r>
      <rPr>
        <sz val="12"/>
        <color theme="1"/>
        <rFont val="Aptos Narrow"/>
        <family val="2"/>
        <scheme val="minor"/>
      </rPr>
      <t>, csc=</t>
    </r>
    <r>
      <rPr>
        <sz val="10"/>
        <color theme="1"/>
        <rFont val="Arial Unicode MS"/>
        <family val="2"/>
      </rPr>
      <t>undefined</t>
    </r>
    <r>
      <rPr>
        <sz val="12"/>
        <color theme="1"/>
        <rFont val="Aptos Narrow"/>
        <family val="2"/>
        <scheme val="minor"/>
      </rPr>
      <t>, sec=</t>
    </r>
    <r>
      <rPr>
        <sz val="10"/>
        <color theme="1"/>
        <rFont val="Arial Unicode MS"/>
        <family val="2"/>
      </rPr>
      <t>1</t>
    </r>
    <r>
      <rPr>
        <sz val="12"/>
        <color theme="1"/>
        <rFont val="Aptos Narrow"/>
        <family val="2"/>
        <scheme val="minor"/>
      </rPr>
      <t>, cot=</t>
    </r>
    <r>
      <rPr>
        <sz val="10"/>
        <color theme="1"/>
        <rFont val="Arial Unicode MS"/>
        <family val="2"/>
      </rPr>
      <t>undefined</t>
    </r>
    <r>
      <rPr>
        <sz val="12"/>
        <color theme="1"/>
        <rFont val="Aptos Narrow"/>
        <family val="2"/>
        <scheme val="minor"/>
      </rPr>
      <t>, sinh=</t>
    </r>
    <r>
      <rPr>
        <sz val="10"/>
        <color theme="1"/>
        <rFont val="Arial Unicode MS"/>
        <family val="2"/>
      </rPr>
      <t>0</t>
    </r>
    <r>
      <rPr>
        <sz val="12"/>
        <color theme="1"/>
        <rFont val="Aptos Narrow"/>
        <family val="2"/>
        <scheme val="minor"/>
      </rPr>
      <t>, cosh=</t>
    </r>
    <r>
      <rPr>
        <sz val="10"/>
        <color theme="1"/>
        <rFont val="Arial Unicode MS"/>
        <family val="2"/>
      </rPr>
      <t>1</t>
    </r>
    <r>
      <rPr>
        <sz val="12"/>
        <color theme="1"/>
        <rFont val="Aptos Narrow"/>
        <family val="2"/>
        <scheme val="minor"/>
      </rPr>
      <t>, tanh=</t>
    </r>
    <r>
      <rPr>
        <sz val="10"/>
        <color theme="1"/>
        <rFont val="Arial Unicode MS"/>
        <family val="2"/>
      </rPr>
      <t>0</t>
    </r>
  </si>
  <si>
    <r>
      <t>Angle=</t>
    </r>
    <r>
      <rPr>
        <sz val="10"/>
        <color theme="1"/>
        <rFont val="Arial Unicode MS"/>
        <family val="2"/>
      </rPr>
      <t>0</t>
    </r>
    <r>
      <rPr>
        <sz val="12"/>
        <color theme="1"/>
        <rFont val="Aptos Narrow"/>
        <family val="2"/>
        <scheme val="minor"/>
      </rPr>
      <t>, RAD — all 9 boxes</t>
    </r>
  </si>
  <si>
    <t>Same as TC-TV-001 — verify consistent across modes</t>
  </si>
  <si>
    <r>
      <t>Angle=</t>
    </r>
    <r>
      <rPr>
        <sz val="10"/>
        <color theme="1"/>
        <rFont val="Arial Unicode MS"/>
        <family val="2"/>
      </rPr>
      <t>0</t>
    </r>
    <r>
      <rPr>
        <sz val="12"/>
        <color theme="1"/>
        <rFont val="Aptos Narrow"/>
        <family val="2"/>
        <scheme val="minor"/>
      </rPr>
      <t>, GRAD — all 9 boxes</t>
    </r>
  </si>
  <si>
    <r>
      <t>Angle=</t>
    </r>
    <r>
      <rPr>
        <sz val="10"/>
        <color theme="1"/>
        <rFont val="Arial Unicode MS"/>
        <family val="2"/>
      </rPr>
      <t>90</t>
    </r>
    <r>
      <rPr>
        <sz val="12"/>
        <color theme="1"/>
        <rFont val="Aptos Narrow"/>
        <family val="2"/>
        <scheme val="minor"/>
      </rPr>
      <t>, DEG — all 9 boxes</t>
    </r>
  </si>
  <si>
    <r>
      <t>sin=</t>
    </r>
    <r>
      <rPr>
        <sz val="10"/>
        <color theme="1"/>
        <rFont val="Arial Unicode MS"/>
        <family val="2"/>
      </rPr>
      <t>1</t>
    </r>
    <r>
      <rPr>
        <sz val="12"/>
        <color theme="1"/>
        <rFont val="Aptos Narrow"/>
        <family val="2"/>
        <scheme val="minor"/>
      </rPr>
      <t>, cos=</t>
    </r>
    <r>
      <rPr>
        <sz val="10"/>
        <color theme="1"/>
        <rFont val="Arial Unicode MS"/>
        <family val="2"/>
      </rPr>
      <t>~0</t>
    </r>
    <r>
      <rPr>
        <sz val="12"/>
        <color theme="1"/>
        <rFont val="Aptos Narrow"/>
        <family val="2"/>
        <scheme val="minor"/>
      </rPr>
      <t>, tan=</t>
    </r>
    <r>
      <rPr>
        <sz val="10"/>
        <color theme="1"/>
        <rFont val="Arial Unicode MS"/>
        <family val="2"/>
      </rPr>
      <t>undefined</t>
    </r>
    <r>
      <rPr>
        <sz val="12"/>
        <color theme="1"/>
        <rFont val="Aptos Narrow"/>
        <family val="2"/>
        <scheme val="minor"/>
      </rPr>
      <t>, csc=</t>
    </r>
    <r>
      <rPr>
        <sz val="10"/>
        <color theme="1"/>
        <rFont val="Arial Unicode MS"/>
        <family val="2"/>
      </rPr>
      <t>1</t>
    </r>
    <r>
      <rPr>
        <sz val="12"/>
        <color theme="1"/>
        <rFont val="Aptos Narrow"/>
        <family val="2"/>
        <scheme val="minor"/>
      </rPr>
      <t>, sec=</t>
    </r>
    <r>
      <rPr>
        <sz val="10"/>
        <color theme="1"/>
        <rFont val="Arial Unicode MS"/>
        <family val="2"/>
      </rPr>
      <t>undefined</t>
    </r>
    <r>
      <rPr>
        <sz val="12"/>
        <color theme="1"/>
        <rFont val="Aptos Narrow"/>
        <family val="2"/>
        <scheme val="minor"/>
      </rPr>
      <t>, cot=</t>
    </r>
    <r>
      <rPr>
        <sz val="10"/>
        <color theme="1"/>
        <rFont val="Arial Unicode MS"/>
        <family val="2"/>
      </rPr>
      <t>~0</t>
    </r>
    <r>
      <rPr>
        <sz val="12"/>
        <color theme="1"/>
        <rFont val="Aptos Narrow"/>
        <family val="2"/>
        <scheme val="minor"/>
      </rPr>
      <t>, sinh=</t>
    </r>
    <r>
      <rPr>
        <sz val="10"/>
        <color theme="1"/>
        <rFont val="Arial Unicode MS"/>
        <family val="2"/>
      </rPr>
      <t>2.3013</t>
    </r>
    <r>
      <rPr>
        <sz val="12"/>
        <color theme="1"/>
        <rFont val="Aptos Narrow"/>
        <family val="2"/>
        <scheme val="minor"/>
      </rPr>
      <t>, cosh=</t>
    </r>
    <r>
      <rPr>
        <sz val="10"/>
        <color theme="1"/>
        <rFont val="Arial Unicode MS"/>
        <family val="2"/>
      </rPr>
      <t>2.5092</t>
    </r>
    <r>
      <rPr>
        <sz val="12"/>
        <color theme="1"/>
        <rFont val="Aptos Narrow"/>
        <family val="2"/>
        <scheme val="minor"/>
      </rPr>
      <t>, tanh=</t>
    </r>
    <r>
      <rPr>
        <sz val="10"/>
        <color theme="1"/>
        <rFont val="Arial Unicode MS"/>
        <family val="2"/>
      </rPr>
      <t>0.9172</t>
    </r>
  </si>
  <si>
    <r>
      <t>Angle=</t>
    </r>
    <r>
      <rPr>
        <sz val="10"/>
        <color theme="1"/>
        <rFont val="Arial Unicode MS"/>
        <family val="2"/>
      </rPr>
      <t>90</t>
    </r>
    <r>
      <rPr>
        <sz val="12"/>
        <color theme="1"/>
        <rFont val="Aptos Narrow"/>
        <family val="2"/>
        <scheme val="minor"/>
      </rPr>
      <t>, RAD — all 9 boxes</t>
    </r>
  </si>
  <si>
    <r>
      <t>Angle=</t>
    </r>
    <r>
      <rPr>
        <sz val="10"/>
        <color theme="1"/>
        <rFont val="Arial Unicode MS"/>
        <family val="2"/>
      </rPr>
      <t>90</t>
    </r>
    <r>
      <rPr>
        <sz val="12"/>
        <color theme="1"/>
        <rFont val="Aptos Narrow"/>
        <family val="2"/>
        <scheme val="minor"/>
      </rPr>
      <t>, GRAD — all 9 boxes</t>
    </r>
  </si>
  <si>
    <r>
      <t>Angle=</t>
    </r>
    <r>
      <rPr>
        <sz val="10"/>
        <color theme="1"/>
        <rFont val="Arial Unicode MS"/>
        <family val="2"/>
      </rPr>
      <t>100</t>
    </r>
    <r>
      <rPr>
        <sz val="12"/>
        <color theme="1"/>
        <rFont val="Aptos Narrow"/>
        <family val="2"/>
        <scheme val="minor"/>
      </rPr>
      <t>, GRAD — all 9 boxes</t>
    </r>
  </si>
  <si>
    <r>
      <t>100 grad = 90° — sin=</t>
    </r>
    <r>
      <rPr>
        <sz val="10"/>
        <color theme="1"/>
        <rFont val="Arial Unicode MS"/>
        <family val="2"/>
      </rPr>
      <t>1</t>
    </r>
    <r>
      <rPr>
        <sz val="12"/>
        <color theme="1"/>
        <rFont val="Aptos Narrow"/>
        <family val="2"/>
        <scheme val="minor"/>
      </rPr>
      <t>, cos=</t>
    </r>
    <r>
      <rPr>
        <sz val="10"/>
        <color theme="1"/>
        <rFont val="Arial Unicode MS"/>
        <family val="2"/>
      </rPr>
      <t>~0</t>
    </r>
    <r>
      <rPr>
        <sz val="12"/>
        <color theme="1"/>
        <rFont val="Aptos Narrow"/>
        <family val="2"/>
        <scheme val="minor"/>
      </rPr>
      <t>, tan=</t>
    </r>
    <r>
      <rPr>
        <sz val="10"/>
        <color theme="1"/>
        <rFont val="Arial Unicode MS"/>
        <family val="2"/>
      </rPr>
      <t>undefined</t>
    </r>
    <r>
      <rPr>
        <sz val="12"/>
        <color theme="1"/>
        <rFont val="Aptos Narrow"/>
        <family val="2"/>
        <scheme val="minor"/>
      </rPr>
      <t>, csc=</t>
    </r>
    <r>
      <rPr>
        <sz val="10"/>
        <color theme="1"/>
        <rFont val="Arial Unicode MS"/>
        <family val="2"/>
      </rPr>
      <t>1</t>
    </r>
    <r>
      <rPr>
        <sz val="12"/>
        <color theme="1"/>
        <rFont val="Aptos Narrow"/>
        <family val="2"/>
        <scheme val="minor"/>
      </rPr>
      <t>, sec=</t>
    </r>
    <r>
      <rPr>
        <sz val="10"/>
        <color theme="1"/>
        <rFont val="Arial Unicode MS"/>
        <family val="2"/>
      </rPr>
      <t>undefined</t>
    </r>
    <r>
      <rPr>
        <sz val="12"/>
        <color theme="1"/>
        <rFont val="Aptos Narrow"/>
        <family val="2"/>
        <scheme val="minor"/>
      </rPr>
      <t>, cot=</t>
    </r>
    <r>
      <rPr>
        <sz val="10"/>
        <color theme="1"/>
        <rFont val="Arial Unicode MS"/>
        <family val="2"/>
      </rPr>
      <t>~0</t>
    </r>
  </si>
  <si>
    <r>
      <t>Angle=</t>
    </r>
    <r>
      <rPr>
        <sz val="10"/>
        <color theme="1"/>
        <rFont val="Arial Unicode MS"/>
        <family val="2"/>
      </rPr>
      <t>180</t>
    </r>
    <r>
      <rPr>
        <sz val="12"/>
        <color theme="1"/>
        <rFont val="Aptos Narrow"/>
        <family val="2"/>
        <scheme val="minor"/>
      </rPr>
      <t>, DEG — all 9 boxes</t>
    </r>
  </si>
  <si>
    <r>
      <t>sin=</t>
    </r>
    <r>
      <rPr>
        <sz val="10"/>
        <color theme="1"/>
        <rFont val="Arial Unicode MS"/>
        <family val="2"/>
      </rPr>
      <t>~0</t>
    </r>
    <r>
      <rPr>
        <sz val="12"/>
        <color theme="1"/>
        <rFont val="Aptos Narrow"/>
        <family val="2"/>
        <scheme val="minor"/>
      </rPr>
      <t>, cos=</t>
    </r>
    <r>
      <rPr>
        <sz val="10"/>
        <color theme="1"/>
        <rFont val="Arial Unicode MS"/>
        <family val="2"/>
      </rPr>
      <t>-1</t>
    </r>
    <r>
      <rPr>
        <sz val="12"/>
        <color theme="1"/>
        <rFont val="Aptos Narrow"/>
        <family val="2"/>
        <scheme val="minor"/>
      </rPr>
      <t>, tan=</t>
    </r>
    <r>
      <rPr>
        <sz val="10"/>
        <color theme="1"/>
        <rFont val="Arial Unicode MS"/>
        <family val="2"/>
      </rPr>
      <t>~0</t>
    </r>
    <r>
      <rPr>
        <sz val="12"/>
        <color theme="1"/>
        <rFont val="Aptos Narrow"/>
        <family val="2"/>
        <scheme val="minor"/>
      </rPr>
      <t>, csc=</t>
    </r>
    <r>
      <rPr>
        <sz val="10"/>
        <color theme="1"/>
        <rFont val="Arial Unicode MS"/>
        <family val="2"/>
      </rPr>
      <t>undefined</t>
    </r>
    <r>
      <rPr>
        <sz val="12"/>
        <color theme="1"/>
        <rFont val="Aptos Narrow"/>
        <family val="2"/>
        <scheme val="minor"/>
      </rPr>
      <t>, sec=</t>
    </r>
    <r>
      <rPr>
        <sz val="10"/>
        <color theme="1"/>
        <rFont val="Arial Unicode MS"/>
        <family val="2"/>
      </rPr>
      <t>-1</t>
    </r>
    <r>
      <rPr>
        <sz val="12"/>
        <color theme="1"/>
        <rFont val="Aptos Narrow"/>
        <family val="2"/>
        <scheme val="minor"/>
      </rPr>
      <t>, cot=</t>
    </r>
    <r>
      <rPr>
        <sz val="10"/>
        <color theme="1"/>
        <rFont val="Arial Unicode MS"/>
        <family val="2"/>
      </rPr>
      <t>undefined</t>
    </r>
  </si>
  <si>
    <r>
      <t>Angle=</t>
    </r>
    <r>
      <rPr>
        <sz val="10"/>
        <color theme="1"/>
        <rFont val="Arial Unicode MS"/>
        <family val="2"/>
      </rPr>
      <t>180</t>
    </r>
    <r>
      <rPr>
        <sz val="12"/>
        <color theme="1"/>
        <rFont val="Aptos Narrow"/>
        <family val="2"/>
        <scheme val="minor"/>
      </rPr>
      <t>, RAD — all 9 boxes</t>
    </r>
  </si>
  <si>
    <r>
      <t>sin=</t>
    </r>
    <r>
      <rPr>
        <sz val="10"/>
        <color theme="1"/>
        <rFont val="Arial Unicode MS"/>
        <family val="2"/>
      </rPr>
      <t>0.9093</t>
    </r>
    <r>
      <rPr>
        <sz val="12"/>
        <color theme="1"/>
        <rFont val="Aptos Narrow"/>
        <family val="2"/>
        <scheme val="minor"/>
      </rPr>
      <t>, cos=</t>
    </r>
    <r>
      <rPr>
        <sz val="10"/>
        <color theme="1"/>
        <rFont val="Arial Unicode MS"/>
        <family val="2"/>
      </rPr>
      <t>-0.6503</t>
    </r>
    <r>
      <rPr>
        <sz val="12"/>
        <color theme="1"/>
        <rFont val="Aptos Narrow"/>
        <family val="2"/>
        <scheme val="minor"/>
      </rPr>
      <t>, tan=</t>
    </r>
    <r>
      <rPr>
        <sz val="10"/>
        <color theme="1"/>
        <rFont val="Arial Unicode MS"/>
        <family val="2"/>
      </rPr>
      <t>-1.3984</t>
    </r>
    <r>
      <rPr>
        <sz val="12"/>
        <color theme="1"/>
        <rFont val="Aptos Narrow"/>
        <family val="2"/>
        <scheme val="minor"/>
      </rPr>
      <t xml:space="preserve"> — verify all 9 boxes</t>
    </r>
  </si>
  <si>
    <r>
      <t>Angle=</t>
    </r>
    <r>
      <rPr>
        <sz val="10"/>
        <color theme="1"/>
        <rFont val="Arial Unicode MS"/>
        <family val="2"/>
      </rPr>
      <t>270</t>
    </r>
    <r>
      <rPr>
        <sz val="12"/>
        <color theme="1"/>
        <rFont val="Aptos Narrow"/>
        <family val="2"/>
        <scheme val="minor"/>
      </rPr>
      <t>, DEG — all 9 boxes</t>
    </r>
  </si>
  <si>
    <r>
      <t>sin=</t>
    </r>
    <r>
      <rPr>
        <sz val="10"/>
        <color theme="1"/>
        <rFont val="Arial Unicode MS"/>
        <family val="2"/>
      </rPr>
      <t>-1</t>
    </r>
    <r>
      <rPr>
        <sz val="12"/>
        <color theme="1"/>
        <rFont val="Aptos Narrow"/>
        <family val="2"/>
        <scheme val="minor"/>
      </rPr>
      <t>, cos=</t>
    </r>
    <r>
      <rPr>
        <sz val="10"/>
        <color theme="1"/>
        <rFont val="Arial Unicode MS"/>
        <family val="2"/>
      </rPr>
      <t>~0</t>
    </r>
    <r>
      <rPr>
        <sz val="12"/>
        <color theme="1"/>
        <rFont val="Aptos Narrow"/>
        <family val="2"/>
        <scheme val="minor"/>
      </rPr>
      <t>, tan=</t>
    </r>
    <r>
      <rPr>
        <sz val="10"/>
        <color theme="1"/>
        <rFont val="Arial Unicode MS"/>
        <family val="2"/>
      </rPr>
      <t>undefined</t>
    </r>
    <r>
      <rPr>
        <sz val="12"/>
        <color theme="1"/>
        <rFont val="Aptos Narrow"/>
        <family val="2"/>
        <scheme val="minor"/>
      </rPr>
      <t>, csc=</t>
    </r>
    <r>
      <rPr>
        <sz val="10"/>
        <color theme="1"/>
        <rFont val="Arial Unicode MS"/>
        <family val="2"/>
      </rPr>
      <t>-1</t>
    </r>
    <r>
      <rPr>
        <sz val="12"/>
        <color theme="1"/>
        <rFont val="Aptos Narrow"/>
        <family val="2"/>
        <scheme val="minor"/>
      </rPr>
      <t>, sec=</t>
    </r>
    <r>
      <rPr>
        <sz val="10"/>
        <color theme="1"/>
        <rFont val="Arial Unicode MS"/>
        <family val="2"/>
      </rPr>
      <t>undefined</t>
    </r>
    <r>
      <rPr>
        <sz val="12"/>
        <color theme="1"/>
        <rFont val="Aptos Narrow"/>
        <family val="2"/>
        <scheme val="minor"/>
      </rPr>
      <t>, cot=</t>
    </r>
    <r>
      <rPr>
        <sz val="10"/>
        <color theme="1"/>
        <rFont val="Arial Unicode MS"/>
        <family val="2"/>
      </rPr>
      <t>~0</t>
    </r>
  </si>
  <si>
    <r>
      <t>Angle=</t>
    </r>
    <r>
      <rPr>
        <sz val="10"/>
        <color theme="1"/>
        <rFont val="Arial Unicode MS"/>
        <family val="2"/>
      </rPr>
      <t>360</t>
    </r>
    <r>
      <rPr>
        <sz val="12"/>
        <color theme="1"/>
        <rFont val="Aptos Narrow"/>
        <family val="2"/>
        <scheme val="minor"/>
      </rPr>
      <t>, DEG — all 9 boxes</t>
    </r>
  </si>
  <si>
    <r>
      <t>sin=</t>
    </r>
    <r>
      <rPr>
        <sz val="10"/>
        <color theme="1"/>
        <rFont val="Arial Unicode MS"/>
        <family val="2"/>
      </rPr>
      <t>~0</t>
    </r>
    <r>
      <rPr>
        <sz val="12"/>
        <color theme="1"/>
        <rFont val="Aptos Narrow"/>
        <family val="2"/>
        <scheme val="minor"/>
      </rPr>
      <t xml:space="preserve"> (not </t>
    </r>
    <r>
      <rPr>
        <sz val="10"/>
        <color theme="1"/>
        <rFont val="Arial Unicode MS"/>
        <family val="2"/>
      </rPr>
      <t>-2.4e-16</t>
    </r>
    <r>
      <rPr>
        <sz val="12"/>
        <color theme="1"/>
        <rFont val="Aptos Narrow"/>
        <family val="2"/>
        <scheme val="minor"/>
      </rPr>
      <t>), cos=</t>
    </r>
    <r>
      <rPr>
        <sz val="10"/>
        <color theme="1"/>
        <rFont val="Arial Unicode MS"/>
        <family val="2"/>
      </rPr>
      <t>1</t>
    </r>
    <r>
      <rPr>
        <sz val="12"/>
        <color theme="1"/>
        <rFont val="Aptos Narrow"/>
        <family val="2"/>
        <scheme val="minor"/>
      </rPr>
      <t>, tan=</t>
    </r>
    <r>
      <rPr>
        <sz val="10"/>
        <color theme="1"/>
        <rFont val="Arial Unicode MS"/>
        <family val="2"/>
      </rPr>
      <t>~0</t>
    </r>
    <r>
      <rPr>
        <sz val="12"/>
        <color theme="1"/>
        <rFont val="Aptos Narrow"/>
        <family val="2"/>
        <scheme val="minor"/>
      </rPr>
      <t xml:space="preserve"> — verify no raw scientific notation shown</t>
    </r>
  </si>
  <si>
    <r>
      <t>Angle=</t>
    </r>
    <r>
      <rPr>
        <sz val="10"/>
        <color theme="1"/>
        <rFont val="Arial Unicode MS"/>
        <family val="2"/>
      </rPr>
      <t>π/2</t>
    </r>
    <r>
      <rPr>
        <sz val="12"/>
        <color theme="1"/>
        <rFont val="Aptos Narrow"/>
        <family val="2"/>
        <scheme val="minor"/>
      </rPr>
      <t xml:space="preserve"> typed as </t>
    </r>
    <r>
      <rPr>
        <sz val="10"/>
        <color theme="1"/>
        <rFont val="Arial Unicode MS"/>
        <family val="2"/>
      </rPr>
      <t>1.5708</t>
    </r>
    <r>
      <rPr>
        <sz val="12"/>
        <color theme="1"/>
        <rFont val="Aptos Narrow"/>
        <family val="2"/>
        <scheme val="minor"/>
      </rPr>
      <t>, RAD — all 9 boxes</t>
    </r>
  </si>
  <si>
    <r>
      <t>sin=</t>
    </r>
    <r>
      <rPr>
        <sz val="10"/>
        <color theme="1"/>
        <rFont val="Arial Unicode MS"/>
        <family val="2"/>
      </rPr>
      <t>1</t>
    </r>
    <r>
      <rPr>
        <sz val="12"/>
        <color theme="1"/>
        <rFont val="Aptos Narrow"/>
        <family val="2"/>
        <scheme val="minor"/>
      </rPr>
      <t>, cos=</t>
    </r>
    <r>
      <rPr>
        <sz val="10"/>
        <color theme="1"/>
        <rFont val="Arial Unicode MS"/>
        <family val="2"/>
      </rPr>
      <t>~0</t>
    </r>
    <r>
      <rPr>
        <sz val="12"/>
        <color theme="1"/>
        <rFont val="Aptos Narrow"/>
        <family val="2"/>
        <scheme val="minor"/>
      </rPr>
      <t>, tan=</t>
    </r>
    <r>
      <rPr>
        <sz val="10"/>
        <color theme="1"/>
        <rFont val="Arial Unicode MS"/>
        <family val="2"/>
      </rPr>
      <t>undefined</t>
    </r>
    <r>
      <rPr>
        <sz val="12"/>
        <color theme="1"/>
        <rFont val="Aptos Narrow"/>
        <family val="2"/>
        <scheme val="minor"/>
      </rPr>
      <t xml:space="preserve"> — verify</t>
    </r>
  </si>
  <si>
    <r>
      <t>Angle=</t>
    </r>
    <r>
      <rPr>
        <sz val="10"/>
        <color theme="1"/>
        <rFont val="Arial Unicode MS"/>
        <family val="2"/>
      </rPr>
      <t>-90</t>
    </r>
    <r>
      <rPr>
        <sz val="12"/>
        <color theme="1"/>
        <rFont val="Aptos Narrow"/>
        <family val="2"/>
        <scheme val="minor"/>
      </rPr>
      <t>, DEG — all 9 boxes</t>
    </r>
  </si>
  <si>
    <r>
      <t>sin=</t>
    </r>
    <r>
      <rPr>
        <sz val="10"/>
        <color theme="1"/>
        <rFont val="Arial Unicode MS"/>
        <family val="2"/>
      </rPr>
      <t>-1</t>
    </r>
    <r>
      <rPr>
        <sz val="12"/>
        <color theme="1"/>
        <rFont val="Aptos Narrow"/>
        <family val="2"/>
        <scheme val="minor"/>
      </rPr>
      <t>, cos=</t>
    </r>
    <r>
      <rPr>
        <sz val="10"/>
        <color theme="1"/>
        <rFont val="Arial Unicode MS"/>
        <family val="2"/>
      </rPr>
      <t>~0</t>
    </r>
    <r>
      <rPr>
        <sz val="12"/>
        <color theme="1"/>
        <rFont val="Aptos Narrow"/>
        <family val="2"/>
        <scheme val="minor"/>
      </rPr>
      <t>, tan=</t>
    </r>
    <r>
      <rPr>
        <sz val="10"/>
        <color theme="1"/>
        <rFont val="Arial Unicode MS"/>
        <family val="2"/>
      </rPr>
      <t>undefined</t>
    </r>
    <r>
      <rPr>
        <sz val="12"/>
        <color theme="1"/>
        <rFont val="Aptos Narrow"/>
        <family val="2"/>
        <scheme val="minor"/>
      </rPr>
      <t>, csc=</t>
    </r>
    <r>
      <rPr>
        <sz val="10"/>
        <color theme="1"/>
        <rFont val="Arial Unicode MS"/>
        <family val="2"/>
      </rPr>
      <t>-1</t>
    </r>
    <r>
      <rPr>
        <sz val="12"/>
        <color theme="1"/>
        <rFont val="Aptos Narrow"/>
        <family val="2"/>
        <scheme val="minor"/>
      </rPr>
      <t xml:space="preserve"> — negative angle works</t>
    </r>
  </si>
  <si>
    <r>
      <t>Angle=</t>
    </r>
    <r>
      <rPr>
        <sz val="10"/>
        <color theme="1"/>
        <rFont val="Arial Unicode MS"/>
        <family val="2"/>
      </rPr>
      <t>-90</t>
    </r>
    <r>
      <rPr>
        <sz val="12"/>
        <color theme="1"/>
        <rFont val="Aptos Narrow"/>
        <family val="2"/>
        <scheme val="minor"/>
      </rPr>
      <t>, RAD — all 9 boxes</t>
    </r>
  </si>
  <si>
    <r>
      <t>sin=</t>
    </r>
    <r>
      <rPr>
        <sz val="10"/>
        <color theme="1"/>
        <rFont val="Arial Unicode MS"/>
        <family val="2"/>
      </rPr>
      <t>-0.8940</t>
    </r>
    <r>
      <rPr>
        <sz val="12"/>
        <color theme="1"/>
        <rFont val="Aptos Narrow"/>
        <family val="2"/>
        <scheme val="minor"/>
      </rPr>
      <t>, cos=</t>
    </r>
    <r>
      <rPr>
        <sz val="10"/>
        <color theme="1"/>
        <rFont val="Arial Unicode MS"/>
        <family val="2"/>
      </rPr>
      <t>0.6216</t>
    </r>
    <r>
      <rPr>
        <sz val="12"/>
        <color theme="1"/>
        <rFont val="Aptos Narrow"/>
        <family val="2"/>
        <scheme val="minor"/>
      </rPr>
      <t xml:space="preserve"> — verify consistent with positive RAD behavior</t>
    </r>
  </si>
  <si>
    <r>
      <t>Angle=</t>
    </r>
    <r>
      <rPr>
        <sz val="10"/>
        <color theme="1"/>
        <rFont val="Arial Unicode MS"/>
        <family val="2"/>
      </rPr>
      <t>999999</t>
    </r>
    <r>
      <rPr>
        <sz val="12"/>
        <color theme="1"/>
        <rFont val="Aptos Narrow"/>
        <family val="2"/>
        <scheme val="minor"/>
      </rPr>
      <t>, DEG</t>
    </r>
  </si>
  <si>
    <t>Valid result, no crash — large angle wraps correctly</t>
  </si>
  <si>
    <r>
      <t>Angle=</t>
    </r>
    <r>
      <rPr>
        <sz val="10"/>
        <color theme="1"/>
        <rFont val="Arial Unicode MS"/>
        <family val="2"/>
      </rPr>
      <t>abc</t>
    </r>
    <r>
      <rPr>
        <sz val="12"/>
        <color theme="1"/>
        <rFont val="Aptos Narrow"/>
        <family val="2"/>
        <scheme val="minor"/>
      </rPr>
      <t>, press Calculate</t>
    </r>
  </si>
  <si>
    <t>TC-TV-018</t>
  </si>
  <si>
    <r>
      <t xml:space="preserve">Switch DEG→RAD mid-session, same angle </t>
    </r>
    <r>
      <rPr>
        <sz val="10"/>
        <color theme="1"/>
        <rFont val="Arial Unicode MS"/>
        <family val="2"/>
      </rPr>
      <t>90</t>
    </r>
  </si>
  <si>
    <t>All 9 boxes update immediately to RAD values</t>
  </si>
  <si>
    <t>TC-TV-019</t>
  </si>
  <si>
    <r>
      <t xml:space="preserve">Switch RAD→GRAD mid-session, same angle </t>
    </r>
    <r>
      <rPr>
        <sz val="10"/>
        <color theme="1"/>
        <rFont val="Arial Unicode MS"/>
        <family val="2"/>
      </rPr>
      <t>90</t>
    </r>
  </si>
  <si>
    <t>All 9 boxes update immediately to GRAD values</t>
  </si>
  <si>
    <t>TC-TV-020</t>
  </si>
  <si>
    <t>Type angle, switch mode without recalculating</t>
  </si>
  <si>
    <r>
      <t>a=</t>
    </r>
    <r>
      <rPr>
        <sz val="10"/>
        <color theme="1"/>
        <rFont val="Arial Unicode MS"/>
        <family val="2"/>
      </rPr>
      <t>3</t>
    </r>
    <r>
      <rPr>
        <sz val="12"/>
        <color theme="1"/>
        <rFont val="Aptos Narrow"/>
        <family val="2"/>
        <scheme val="minor"/>
      </rPr>
      <t>, b=</t>
    </r>
    <r>
      <rPr>
        <sz val="10"/>
        <color theme="1"/>
        <rFont val="Arial Unicode MS"/>
        <family val="2"/>
      </rPr>
      <t>4</t>
    </r>
    <r>
      <rPr>
        <sz val="12"/>
        <color theme="1"/>
        <rFont val="Aptos Narrow"/>
        <family val="2"/>
        <scheme val="minor"/>
      </rPr>
      <t xml:space="preserve"> → find c</t>
    </r>
  </si>
  <si>
    <r>
      <t>c=</t>
    </r>
    <r>
      <rPr>
        <sz val="10"/>
        <color theme="1"/>
        <rFont val="Arial Unicode MS"/>
        <family val="2"/>
      </rPr>
      <t>5</t>
    </r>
    <r>
      <rPr>
        <sz val="12"/>
        <color theme="1"/>
        <rFont val="Aptos Narrow"/>
        <family val="2"/>
        <scheme val="minor"/>
      </rPr>
      <t xml:space="preserve"> (Pythagorean triple)</t>
    </r>
  </si>
  <si>
    <r>
      <t>a=</t>
    </r>
    <r>
      <rPr>
        <sz val="10"/>
        <color theme="1"/>
        <rFont val="Arial Unicode MS"/>
        <family val="2"/>
      </rPr>
      <t>0</t>
    </r>
    <r>
      <rPr>
        <sz val="12"/>
        <color theme="1"/>
        <rFont val="Aptos Narrow"/>
        <family val="2"/>
        <scheme val="minor"/>
      </rPr>
      <t>, b=</t>
    </r>
    <r>
      <rPr>
        <sz val="10"/>
        <color theme="1"/>
        <rFont val="Arial Unicode MS"/>
        <family val="2"/>
      </rPr>
      <t>4</t>
    </r>
    <r>
      <rPr>
        <sz val="12"/>
        <color theme="1"/>
        <rFont val="Aptos Narrow"/>
        <family val="2"/>
        <scheme val="minor"/>
      </rPr>
      <t xml:space="preserve"> → find c</t>
    </r>
  </si>
  <si>
    <r>
      <t>a=</t>
    </r>
    <r>
      <rPr>
        <sz val="10"/>
        <color theme="1"/>
        <rFont val="Arial Unicode MS"/>
        <family val="2"/>
      </rPr>
      <t>-3</t>
    </r>
    <r>
      <rPr>
        <sz val="12"/>
        <color theme="1"/>
        <rFont val="Aptos Narrow"/>
        <family val="2"/>
        <scheme val="minor"/>
      </rPr>
      <t>, b=</t>
    </r>
    <r>
      <rPr>
        <sz val="10"/>
        <color theme="1"/>
        <rFont val="Arial Unicode MS"/>
        <family val="2"/>
      </rPr>
      <t>4</t>
    </r>
    <r>
      <rPr>
        <sz val="12"/>
        <color theme="1"/>
        <rFont val="Aptos Narrow"/>
        <family val="2"/>
        <scheme val="minor"/>
      </rPr>
      <t xml:space="preserve"> → find c</t>
    </r>
  </si>
  <si>
    <r>
      <t>a=</t>
    </r>
    <r>
      <rPr>
        <sz val="10"/>
        <color theme="1"/>
        <rFont val="Arial Unicode MS"/>
        <family val="2"/>
      </rPr>
      <t>5</t>
    </r>
    <r>
      <rPr>
        <sz val="12"/>
        <color theme="1"/>
        <rFont val="Aptos Narrow"/>
        <family val="2"/>
        <scheme val="minor"/>
      </rPr>
      <t>, c=</t>
    </r>
    <r>
      <rPr>
        <sz val="10"/>
        <color theme="1"/>
        <rFont val="Arial Unicode MS"/>
        <family val="2"/>
      </rPr>
      <t>3</t>
    </r>
    <r>
      <rPr>
        <sz val="12"/>
        <color theme="1"/>
        <rFont val="Aptos Narrow"/>
        <family val="2"/>
        <scheme val="minor"/>
      </rPr>
      <t xml:space="preserve"> → find b (a &gt; c)</t>
    </r>
  </si>
  <si>
    <r>
      <t>a=</t>
    </r>
    <r>
      <rPr>
        <sz val="10"/>
        <color theme="1"/>
        <rFont val="Arial Unicode MS"/>
        <family val="2"/>
      </rPr>
      <t>5</t>
    </r>
    <r>
      <rPr>
        <sz val="12"/>
        <color theme="1"/>
        <rFont val="Aptos Narrow"/>
        <family val="2"/>
        <scheme val="minor"/>
      </rPr>
      <t>, c=</t>
    </r>
    <r>
      <rPr>
        <sz val="10"/>
        <color theme="1"/>
        <rFont val="Arial Unicode MS"/>
        <family val="2"/>
      </rPr>
      <t>5</t>
    </r>
    <r>
      <rPr>
        <sz val="12"/>
        <color theme="1"/>
        <rFont val="Aptos Narrow"/>
        <family val="2"/>
        <scheme val="minor"/>
      </rPr>
      <t xml:space="preserve"> → find b</t>
    </r>
  </si>
  <si>
    <r>
      <t>Error</t>
    </r>
    <r>
      <rPr>
        <sz val="12"/>
        <color theme="1"/>
        <rFont val="Aptos Narrow"/>
        <family val="2"/>
        <scheme val="minor"/>
      </rPr>
      <t xml:space="preserve"> or </t>
    </r>
    <r>
      <rPr>
        <sz val="10"/>
        <color theme="1"/>
        <rFont val="Arial Unicode MS"/>
        <family val="2"/>
      </rPr>
      <t>b=0</t>
    </r>
    <r>
      <rPr>
        <sz val="12"/>
        <color theme="1"/>
        <rFont val="Aptos Narrow"/>
        <family val="2"/>
        <scheme val="minor"/>
      </rPr>
      <t xml:space="preserve"> (degenerate triangle)</t>
    </r>
  </si>
  <si>
    <r>
      <t>b=</t>
    </r>
    <r>
      <rPr>
        <sz val="10"/>
        <color theme="1"/>
        <rFont val="Arial Unicode MS"/>
        <family val="2"/>
      </rPr>
      <t>0</t>
    </r>
    <r>
      <rPr>
        <sz val="12"/>
        <color theme="1"/>
        <rFont val="Aptos Narrow"/>
        <family val="2"/>
        <scheme val="minor"/>
      </rPr>
      <t>, c=</t>
    </r>
    <r>
      <rPr>
        <sz val="10"/>
        <color theme="1"/>
        <rFont val="Arial Unicode MS"/>
        <family val="2"/>
      </rPr>
      <t>5</t>
    </r>
    <r>
      <rPr>
        <sz val="12"/>
        <color theme="1"/>
        <rFont val="Aptos Narrow"/>
        <family val="2"/>
        <scheme val="minor"/>
      </rPr>
      <t xml:space="preserve"> → find a</t>
    </r>
  </si>
  <si>
    <r>
      <t>Angle=</t>
    </r>
    <r>
      <rPr>
        <sz val="10"/>
        <color theme="1"/>
        <rFont val="Arial Unicode MS"/>
        <family val="2"/>
      </rPr>
      <t>90</t>
    </r>
    <r>
      <rPr>
        <sz val="12"/>
        <color theme="1"/>
        <rFont val="Aptos Narrow"/>
        <family val="2"/>
        <scheme val="minor"/>
      </rPr>
      <t>, DEG, known side a=</t>
    </r>
    <r>
      <rPr>
        <sz val="10"/>
        <color theme="1"/>
        <rFont val="Arial Unicode MS"/>
        <family val="2"/>
      </rPr>
      <t>5</t>
    </r>
    <r>
      <rPr>
        <sz val="12"/>
        <color theme="1"/>
        <rFont val="Aptos Narrow"/>
        <family val="2"/>
        <scheme val="minor"/>
      </rPr>
      <t xml:space="preserve"> → find all</t>
    </r>
  </si>
  <si>
    <r>
      <t>c=</t>
    </r>
    <r>
      <rPr>
        <sz val="10"/>
        <color theme="1"/>
        <rFont val="Arial Unicode MS"/>
        <family val="2"/>
      </rPr>
      <t>5</t>
    </r>
    <r>
      <rPr>
        <sz val="12"/>
        <color theme="1"/>
        <rFont val="Aptos Narrow"/>
        <family val="2"/>
        <scheme val="minor"/>
      </rPr>
      <t>, b=</t>
    </r>
    <r>
      <rPr>
        <sz val="10"/>
        <color theme="1"/>
        <rFont val="Arial Unicode MS"/>
        <family val="2"/>
      </rPr>
      <t>0</t>
    </r>
    <r>
      <rPr>
        <sz val="12"/>
        <color theme="1"/>
        <rFont val="Aptos Narrow"/>
        <family val="2"/>
        <scheme val="minor"/>
      </rPr>
      <t xml:space="preserve"> — verify no crash, no infinity</t>
    </r>
  </si>
  <si>
    <r>
      <t>Angle=</t>
    </r>
    <r>
      <rPr>
        <sz val="10"/>
        <color theme="1"/>
        <rFont val="Arial Unicode MS"/>
        <family val="2"/>
      </rPr>
      <t>0</t>
    </r>
    <r>
      <rPr>
        <sz val="12"/>
        <color theme="1"/>
        <rFont val="Aptos Narrow"/>
        <family val="2"/>
        <scheme val="minor"/>
      </rPr>
      <t>, DEG, known side a=</t>
    </r>
    <r>
      <rPr>
        <sz val="10"/>
        <color theme="1"/>
        <rFont val="Arial Unicode MS"/>
        <family val="2"/>
      </rPr>
      <t>5</t>
    </r>
    <r>
      <rPr>
        <sz val="12"/>
        <color theme="1"/>
        <rFont val="Aptos Narrow"/>
        <family val="2"/>
        <scheme val="minor"/>
      </rPr>
      <t xml:space="preserve"> → find all</t>
    </r>
  </si>
  <si>
    <r>
      <t>Error</t>
    </r>
    <r>
      <rPr>
        <sz val="12"/>
        <color theme="1"/>
        <rFont val="Aptos Narrow"/>
        <family val="2"/>
        <scheme val="minor"/>
      </rPr>
      <t xml:space="preserve"> (sin0=0, division by zero for c=a/sin)</t>
    </r>
  </si>
  <si>
    <r>
      <t>Angle=</t>
    </r>
    <r>
      <rPr>
        <sz val="10"/>
        <color theme="1"/>
        <rFont val="Arial Unicode MS"/>
        <family val="2"/>
      </rPr>
      <t>45</t>
    </r>
    <r>
      <rPr>
        <sz val="12"/>
        <color theme="1"/>
        <rFont val="Aptos Narrow"/>
        <family val="2"/>
        <scheme val="minor"/>
      </rPr>
      <t>, DEG, side c=</t>
    </r>
    <r>
      <rPr>
        <sz val="10"/>
        <color theme="1"/>
        <rFont val="Arial Unicode MS"/>
        <family val="2"/>
      </rPr>
      <t>10</t>
    </r>
    <r>
      <rPr>
        <sz val="12"/>
        <color theme="1"/>
        <rFont val="Aptos Narrow"/>
        <family val="2"/>
        <scheme val="minor"/>
      </rPr>
      <t xml:space="preserve"> → find all</t>
    </r>
  </si>
  <si>
    <r>
      <t>a=b=</t>
    </r>
    <r>
      <rPr>
        <sz val="10"/>
        <color theme="1"/>
        <rFont val="Arial Unicode MS"/>
        <family val="2"/>
      </rPr>
      <t>7.07106…</t>
    </r>
  </si>
  <si>
    <r>
      <t>Angle=</t>
    </r>
    <r>
      <rPr>
        <sz val="10"/>
        <color theme="1"/>
        <rFont val="Arial Unicode MS"/>
        <family val="2"/>
      </rPr>
      <t>45</t>
    </r>
    <r>
      <rPr>
        <sz val="12"/>
        <color theme="1"/>
        <rFont val="Aptos Narrow"/>
        <family val="2"/>
        <scheme val="minor"/>
      </rPr>
      <t>, RAD, side c=</t>
    </r>
    <r>
      <rPr>
        <sz val="10"/>
        <color theme="1"/>
        <rFont val="Arial Unicode MS"/>
        <family val="2"/>
      </rPr>
      <t>10</t>
    </r>
    <r>
      <rPr>
        <sz val="12"/>
        <color theme="1"/>
        <rFont val="Aptos Narrow"/>
        <family val="2"/>
        <scheme val="minor"/>
      </rPr>
      <t xml:space="preserve"> → find all</t>
    </r>
  </si>
  <si>
    <r>
      <t>Angle=</t>
    </r>
    <r>
      <rPr>
        <sz val="10"/>
        <color theme="1"/>
        <rFont val="Arial Unicode MS"/>
        <family val="2"/>
      </rPr>
      <t>50</t>
    </r>
    <r>
      <rPr>
        <sz val="12"/>
        <color theme="1"/>
        <rFont val="Aptos Narrow"/>
        <family val="2"/>
        <scheme val="minor"/>
      </rPr>
      <t>, GRAD, side c=</t>
    </r>
    <r>
      <rPr>
        <sz val="10"/>
        <color theme="1"/>
        <rFont val="Arial Unicode MS"/>
        <family val="2"/>
      </rPr>
      <t>10</t>
    </r>
    <r>
      <rPr>
        <sz val="12"/>
        <color theme="1"/>
        <rFont val="Aptos Narrow"/>
        <family val="2"/>
        <scheme val="minor"/>
      </rPr>
      <t xml:space="preserve"> → find all</t>
    </r>
  </si>
  <si>
    <r>
      <t>50 grad = 45° — a=b=</t>
    </r>
    <r>
      <rPr>
        <sz val="10"/>
        <color theme="1"/>
        <rFont val="Arial Unicode MS"/>
        <family val="2"/>
      </rPr>
      <t>7.07106…</t>
    </r>
    <r>
      <rPr>
        <sz val="12"/>
        <color theme="1"/>
        <rFont val="Aptos Narrow"/>
        <family val="2"/>
        <scheme val="minor"/>
      </rPr>
      <t xml:space="preserve"> same as TC-FS-009 — verify GRAD conversion</t>
    </r>
  </si>
  <si>
    <r>
      <t xml:space="preserve">No crash, shows </t>
    </r>
    <r>
      <rPr>
        <sz val="10"/>
        <color theme="1"/>
        <rFont val="Arial Unicode MS"/>
        <family val="2"/>
      </rPr>
      <t>Error</t>
    </r>
    <r>
      <rPr>
        <sz val="12"/>
        <color theme="1"/>
        <rFont val="Aptos Narrow"/>
        <family val="2"/>
        <scheme val="minor"/>
      </rPr>
      <t xml:space="preserve"> or </t>
    </r>
    <r>
      <rPr>
        <sz val="10"/>
        <color theme="1"/>
        <rFont val="Arial Unicode MS"/>
        <family val="2"/>
      </rPr>
      <t>—</t>
    </r>
  </si>
  <si>
    <r>
      <t>Known side value=</t>
    </r>
    <r>
      <rPr>
        <sz val="10"/>
        <color theme="1"/>
        <rFont val="Arial Unicode MS"/>
        <family val="2"/>
      </rPr>
      <t>0</t>
    </r>
  </si>
  <si>
    <r>
      <t>Known side value=</t>
    </r>
    <r>
      <rPr>
        <sz val="10"/>
        <color theme="1"/>
        <rFont val="Arial Unicode MS"/>
        <family val="2"/>
      </rPr>
      <t>-5</t>
    </r>
  </si>
  <si>
    <r>
      <t>a=</t>
    </r>
    <r>
      <rPr>
        <sz val="10"/>
        <color theme="1"/>
        <rFont val="Arial Unicode MS"/>
        <family val="2"/>
      </rPr>
      <t>1.5</t>
    </r>
    <r>
      <rPr>
        <sz val="12"/>
        <color theme="1"/>
        <rFont val="Aptos Narrow"/>
        <family val="2"/>
        <scheme val="minor"/>
      </rPr>
      <t>, b=</t>
    </r>
    <r>
      <rPr>
        <sz val="10"/>
        <color theme="1"/>
        <rFont val="Arial Unicode MS"/>
        <family val="2"/>
      </rPr>
      <t>2.5</t>
    </r>
    <r>
      <rPr>
        <sz val="12"/>
        <color theme="1"/>
        <rFont val="Aptos Narrow"/>
        <family val="2"/>
        <scheme val="minor"/>
      </rPr>
      <t xml:space="preserve"> → find c</t>
    </r>
  </si>
  <si>
    <r>
      <t>c=</t>
    </r>
    <r>
      <rPr>
        <sz val="10"/>
        <color theme="1"/>
        <rFont val="Arial Unicode MS"/>
        <family val="2"/>
      </rPr>
      <t>2.9154759…</t>
    </r>
    <r>
      <rPr>
        <sz val="12"/>
        <color theme="1"/>
        <rFont val="Aptos Narrow"/>
        <family val="2"/>
        <scheme val="minor"/>
      </rPr>
      <t xml:space="preserve"> — decimal inputs work correctly</t>
    </r>
  </si>
  <si>
    <r>
      <t>a=</t>
    </r>
    <r>
      <rPr>
        <sz val="10"/>
        <color theme="1"/>
        <rFont val="Arial Unicode MS"/>
        <family val="2"/>
      </rPr>
      <t>3</t>
    </r>
    <r>
      <rPr>
        <sz val="12"/>
        <color theme="1"/>
        <rFont val="Aptos Narrow"/>
        <family val="2"/>
        <scheme val="minor"/>
      </rPr>
      <t>, c=</t>
    </r>
    <r>
      <rPr>
        <sz val="10"/>
        <color theme="1"/>
        <rFont val="Arial Unicode MS"/>
        <family val="2"/>
      </rPr>
      <t>5</t>
    </r>
    <r>
      <rPr>
        <sz val="12"/>
        <color theme="1"/>
        <rFont val="Aptos Narrow"/>
        <family val="2"/>
        <scheme val="minor"/>
      </rPr>
      <t xml:space="preserve"> → sin θ, DEG</t>
    </r>
  </si>
  <si>
    <r>
      <t>sin=</t>
    </r>
    <r>
      <rPr>
        <sz val="10"/>
        <color theme="1"/>
        <rFont val="Arial Unicode MS"/>
        <family val="2"/>
      </rPr>
      <t>0.6</t>
    </r>
    <r>
      <rPr>
        <sz val="12"/>
        <color theme="1"/>
        <rFont val="Aptos Narrow"/>
        <family val="2"/>
        <scheme val="minor"/>
      </rPr>
      <t>, θ=</t>
    </r>
    <r>
      <rPr>
        <sz val="10"/>
        <color theme="1"/>
        <rFont val="Arial Unicode MS"/>
        <family val="2"/>
      </rPr>
      <t>36.8699°</t>
    </r>
  </si>
  <si>
    <r>
      <t>a=</t>
    </r>
    <r>
      <rPr>
        <sz val="10"/>
        <color theme="1"/>
        <rFont val="Arial Unicode MS"/>
        <family val="2"/>
      </rPr>
      <t>3</t>
    </r>
    <r>
      <rPr>
        <sz val="12"/>
        <color theme="1"/>
        <rFont val="Aptos Narrow"/>
        <family val="2"/>
        <scheme val="minor"/>
      </rPr>
      <t>, c=</t>
    </r>
    <r>
      <rPr>
        <sz val="10"/>
        <color theme="1"/>
        <rFont val="Arial Unicode MS"/>
        <family val="2"/>
      </rPr>
      <t>5</t>
    </r>
    <r>
      <rPr>
        <sz val="12"/>
        <color theme="1"/>
        <rFont val="Aptos Narrow"/>
        <family val="2"/>
        <scheme val="minor"/>
      </rPr>
      <t xml:space="preserve"> → sin θ, RAD</t>
    </r>
  </si>
  <si>
    <r>
      <t>sin=</t>
    </r>
    <r>
      <rPr>
        <sz val="10"/>
        <color theme="1"/>
        <rFont val="Arial Unicode MS"/>
        <family val="2"/>
      </rPr>
      <t>0.6</t>
    </r>
    <r>
      <rPr>
        <sz val="12"/>
        <color theme="1"/>
        <rFont val="Aptos Narrow"/>
        <family val="2"/>
        <scheme val="minor"/>
      </rPr>
      <t>, θ=</t>
    </r>
    <r>
      <rPr>
        <sz val="10"/>
        <color theme="1"/>
        <rFont val="Arial Unicode MS"/>
        <family val="2"/>
      </rPr>
      <t>0.6435…</t>
    </r>
    <r>
      <rPr>
        <sz val="12"/>
        <color theme="1"/>
        <rFont val="Aptos Narrow"/>
        <family val="2"/>
        <scheme val="minor"/>
      </rPr>
      <t xml:space="preserve"> rad — no degree symbol shown</t>
    </r>
  </si>
  <si>
    <r>
      <t>a=</t>
    </r>
    <r>
      <rPr>
        <sz val="10"/>
        <color theme="1"/>
        <rFont val="Arial Unicode MS"/>
        <family val="2"/>
      </rPr>
      <t>3</t>
    </r>
    <r>
      <rPr>
        <sz val="12"/>
        <color theme="1"/>
        <rFont val="Aptos Narrow"/>
        <family val="2"/>
        <scheme val="minor"/>
      </rPr>
      <t>, c=</t>
    </r>
    <r>
      <rPr>
        <sz val="10"/>
        <color theme="1"/>
        <rFont val="Arial Unicode MS"/>
        <family val="2"/>
      </rPr>
      <t>5</t>
    </r>
    <r>
      <rPr>
        <sz val="12"/>
        <color theme="1"/>
        <rFont val="Aptos Narrow"/>
        <family val="2"/>
        <scheme val="minor"/>
      </rPr>
      <t xml:space="preserve"> → sin θ, GRAD</t>
    </r>
  </si>
  <si>
    <r>
      <t>sin=</t>
    </r>
    <r>
      <rPr>
        <sz val="10"/>
        <color theme="1"/>
        <rFont val="Arial Unicode MS"/>
        <family val="2"/>
      </rPr>
      <t>0.6</t>
    </r>
    <r>
      <rPr>
        <sz val="12"/>
        <color theme="1"/>
        <rFont val="Aptos Narrow"/>
        <family val="2"/>
        <scheme val="minor"/>
      </rPr>
      <t>, θ=</t>
    </r>
    <r>
      <rPr>
        <sz val="10"/>
        <color theme="1"/>
        <rFont val="Arial Unicode MS"/>
        <family val="2"/>
      </rPr>
      <t>40.9…</t>
    </r>
    <r>
      <rPr>
        <sz val="12"/>
        <color theme="1"/>
        <rFont val="Aptos Narrow"/>
        <family val="2"/>
        <scheme val="minor"/>
      </rPr>
      <t xml:space="preserve"> grad — verify GRAD output</t>
    </r>
  </si>
  <si>
    <r>
      <t>a=</t>
    </r>
    <r>
      <rPr>
        <sz val="10"/>
        <color theme="1"/>
        <rFont val="Arial Unicode MS"/>
        <family val="2"/>
      </rPr>
      <t>5</t>
    </r>
    <r>
      <rPr>
        <sz val="12"/>
        <color theme="1"/>
        <rFont val="Aptos Narrow"/>
        <family val="2"/>
        <scheme val="minor"/>
      </rPr>
      <t>, c=</t>
    </r>
    <r>
      <rPr>
        <sz val="10"/>
        <color theme="1"/>
        <rFont val="Arial Unicode MS"/>
        <family val="2"/>
      </rPr>
      <t>3</t>
    </r>
    <r>
      <rPr>
        <sz val="12"/>
        <color theme="1"/>
        <rFont val="Aptos Narrow"/>
        <family val="2"/>
        <scheme val="minor"/>
      </rPr>
      <t xml:space="preserve"> (a &gt; c) → sin θ</t>
    </r>
  </si>
  <si>
    <r>
      <t>Error: a cannot be greater than c</t>
    </r>
    <r>
      <rPr>
        <sz val="12"/>
        <color theme="1"/>
        <rFont val="Aptos Narrow"/>
        <family val="2"/>
        <scheme val="minor"/>
      </rPr>
      <t xml:space="preserve"> — all 3 modes</t>
    </r>
  </si>
  <si>
    <r>
      <t>a=</t>
    </r>
    <r>
      <rPr>
        <sz val="10"/>
        <color theme="1"/>
        <rFont val="Arial Unicode MS"/>
        <family val="2"/>
      </rPr>
      <t>0</t>
    </r>
    <r>
      <rPr>
        <sz val="12"/>
        <color theme="1"/>
        <rFont val="Aptos Narrow"/>
        <family val="2"/>
        <scheme val="minor"/>
      </rPr>
      <t>, c=</t>
    </r>
    <r>
      <rPr>
        <sz val="10"/>
        <color theme="1"/>
        <rFont val="Arial Unicode MS"/>
        <family val="2"/>
      </rPr>
      <t>5</t>
    </r>
    <r>
      <rPr>
        <sz val="12"/>
        <color theme="1"/>
        <rFont val="Aptos Narrow"/>
        <family val="2"/>
        <scheme val="minor"/>
      </rPr>
      <t xml:space="preserve"> → sin θ, DEG</t>
    </r>
  </si>
  <si>
    <r>
      <t>θ=</t>
    </r>
    <r>
      <rPr>
        <sz val="10"/>
        <color theme="1"/>
        <rFont val="Arial Unicode MS"/>
        <family val="2"/>
      </rPr>
      <t>0°</t>
    </r>
    <r>
      <rPr>
        <sz val="12"/>
        <color theme="1"/>
        <rFont val="Aptos Narrow"/>
        <family val="2"/>
        <scheme val="minor"/>
      </rPr>
      <t xml:space="preserve"> (valid edge case, sin=0)</t>
    </r>
  </si>
  <si>
    <r>
      <t>a=</t>
    </r>
    <r>
      <rPr>
        <sz val="10"/>
        <color theme="1"/>
        <rFont val="Arial Unicode MS"/>
        <family val="2"/>
      </rPr>
      <t>5</t>
    </r>
    <r>
      <rPr>
        <sz val="12"/>
        <color theme="1"/>
        <rFont val="Aptos Narrow"/>
        <family val="2"/>
        <scheme val="minor"/>
      </rPr>
      <t>, c=</t>
    </r>
    <r>
      <rPr>
        <sz val="10"/>
        <color theme="1"/>
        <rFont val="Arial Unicode MS"/>
        <family val="2"/>
      </rPr>
      <t>5</t>
    </r>
    <r>
      <rPr>
        <sz val="12"/>
        <color theme="1"/>
        <rFont val="Aptos Narrow"/>
        <family val="2"/>
        <scheme val="minor"/>
      </rPr>
      <t xml:space="preserve"> → sin θ, DEG</t>
    </r>
  </si>
  <si>
    <r>
      <t>θ=</t>
    </r>
    <r>
      <rPr>
        <sz val="10"/>
        <color theme="1"/>
        <rFont val="Arial Unicode MS"/>
        <family val="2"/>
      </rPr>
      <t>90°</t>
    </r>
    <r>
      <rPr>
        <sz val="12"/>
        <color theme="1"/>
        <rFont val="Aptos Narrow"/>
        <family val="2"/>
        <scheme val="minor"/>
      </rPr>
      <t xml:space="preserve"> (sin=1)</t>
    </r>
  </si>
  <si>
    <r>
      <t>c=</t>
    </r>
    <r>
      <rPr>
        <sz val="10"/>
        <color theme="1"/>
        <rFont val="Arial Unicode MS"/>
        <family val="2"/>
      </rPr>
      <t>0</t>
    </r>
    <r>
      <rPr>
        <sz val="12"/>
        <color theme="1"/>
        <rFont val="Aptos Narrow"/>
        <family val="2"/>
        <scheme val="minor"/>
      </rPr>
      <t xml:space="preserve"> in sin section</t>
    </r>
  </si>
  <si>
    <r>
      <t>b=</t>
    </r>
    <r>
      <rPr>
        <sz val="10"/>
        <color theme="1"/>
        <rFont val="Arial Unicode MS"/>
        <family val="2"/>
      </rPr>
      <t>0</t>
    </r>
    <r>
      <rPr>
        <sz val="12"/>
        <color theme="1"/>
        <rFont val="Aptos Narrow"/>
        <family val="2"/>
        <scheme val="minor"/>
      </rPr>
      <t>, c=</t>
    </r>
    <r>
      <rPr>
        <sz val="10"/>
        <color theme="1"/>
        <rFont val="Arial Unicode MS"/>
        <family val="2"/>
      </rPr>
      <t>5</t>
    </r>
    <r>
      <rPr>
        <sz val="12"/>
        <color theme="1"/>
        <rFont val="Aptos Narrow"/>
        <family val="2"/>
        <scheme val="minor"/>
      </rPr>
      <t xml:space="preserve"> → cos θ, DEG</t>
    </r>
  </si>
  <si>
    <r>
      <t>θ=</t>
    </r>
    <r>
      <rPr>
        <sz val="10"/>
        <color theme="1"/>
        <rFont val="Arial Unicode MS"/>
        <family val="2"/>
      </rPr>
      <t>90°</t>
    </r>
    <r>
      <rPr>
        <sz val="12"/>
        <color theme="1"/>
        <rFont val="Aptos Narrow"/>
        <family val="2"/>
        <scheme val="minor"/>
      </rPr>
      <t xml:space="preserve"> (cos=0)</t>
    </r>
  </si>
  <si>
    <r>
      <t>b=</t>
    </r>
    <r>
      <rPr>
        <sz val="10"/>
        <color theme="1"/>
        <rFont val="Arial Unicode MS"/>
        <family val="2"/>
      </rPr>
      <t>5</t>
    </r>
    <r>
      <rPr>
        <sz val="12"/>
        <color theme="1"/>
        <rFont val="Aptos Narrow"/>
        <family val="2"/>
        <scheme val="minor"/>
      </rPr>
      <t>, c=</t>
    </r>
    <r>
      <rPr>
        <sz val="10"/>
        <color theme="1"/>
        <rFont val="Arial Unicode MS"/>
        <family val="2"/>
      </rPr>
      <t>3</t>
    </r>
    <r>
      <rPr>
        <sz val="12"/>
        <color theme="1"/>
        <rFont val="Aptos Narrow"/>
        <family val="2"/>
        <scheme val="minor"/>
      </rPr>
      <t xml:space="preserve"> (b &gt; c) → cos θ</t>
    </r>
  </si>
  <si>
    <r>
      <t>a=</t>
    </r>
    <r>
      <rPr>
        <sz val="10"/>
        <color theme="1"/>
        <rFont val="Arial Unicode MS"/>
        <family val="2"/>
      </rPr>
      <t>0</t>
    </r>
    <r>
      <rPr>
        <sz val="12"/>
        <color theme="1"/>
        <rFont val="Aptos Narrow"/>
        <family val="2"/>
        <scheme val="minor"/>
      </rPr>
      <t>, b=</t>
    </r>
    <r>
      <rPr>
        <sz val="10"/>
        <color theme="1"/>
        <rFont val="Arial Unicode MS"/>
        <family val="2"/>
      </rPr>
      <t>5</t>
    </r>
    <r>
      <rPr>
        <sz val="12"/>
        <color theme="1"/>
        <rFont val="Aptos Narrow"/>
        <family val="2"/>
        <scheme val="minor"/>
      </rPr>
      <t xml:space="preserve"> → tan θ, DEG</t>
    </r>
  </si>
  <si>
    <r>
      <t>θ=</t>
    </r>
    <r>
      <rPr>
        <sz val="10"/>
        <color theme="1"/>
        <rFont val="Arial Unicode MS"/>
        <family val="2"/>
      </rPr>
      <t>0°</t>
    </r>
    <r>
      <rPr>
        <sz val="12"/>
        <color theme="1"/>
        <rFont val="Aptos Narrow"/>
        <family val="2"/>
        <scheme val="minor"/>
      </rPr>
      <t xml:space="preserve"> (tan=0)</t>
    </r>
  </si>
  <si>
    <r>
      <t>b=</t>
    </r>
    <r>
      <rPr>
        <sz val="10"/>
        <color theme="1"/>
        <rFont val="Arial Unicode MS"/>
        <family val="2"/>
      </rPr>
      <t>0</t>
    </r>
    <r>
      <rPr>
        <sz val="12"/>
        <color theme="1"/>
        <rFont val="Aptos Narrow"/>
        <family val="2"/>
        <scheme val="minor"/>
      </rPr>
      <t>, a=</t>
    </r>
    <r>
      <rPr>
        <sz val="10"/>
        <color theme="1"/>
        <rFont val="Arial Unicode MS"/>
        <family val="2"/>
      </rPr>
      <t>5</t>
    </r>
    <r>
      <rPr>
        <sz val="12"/>
        <color theme="1"/>
        <rFont val="Aptos Narrow"/>
        <family val="2"/>
        <scheme val="minor"/>
      </rPr>
      <t xml:space="preserve"> → tan θ</t>
    </r>
  </si>
  <si>
    <t>Negative values in any field, any section</t>
  </si>
  <si>
    <t>Switch DEG→RAD mid-session, recalculate same values</t>
  </si>
  <si>
    <t>θ updates to RAD value, degree symbol removed</t>
  </si>
  <si>
    <t>Switch RAD→GRAD mid-session, recalculate same values</t>
  </si>
  <si>
    <t>θ updates to GRAD value correctly</t>
  </si>
  <si>
    <t>Switch mode without recalculating</t>
  </si>
  <si>
    <t>TC-P-001</t>
  </si>
  <si>
    <t>FF</t>
  </si>
  <si>
    <t>TC-P-002</t>
  </si>
  <si>
    <t>TC-P-003</t>
  </si>
  <si>
    <t>TC-P-004</t>
  </si>
  <si>
    <t>TC-P-005</t>
  </si>
  <si>
    <t>TC-P-006</t>
  </si>
  <si>
    <t>TC-P-007</t>
  </si>
  <si>
    <t>TC-P-008</t>
  </si>
  <si>
    <t>TC-P-009</t>
  </si>
  <si>
    <t>TC-P-010</t>
  </si>
  <si>
    <r>
      <t xml:space="preserve">Ignored — only </t>
    </r>
    <r>
      <rPr>
        <sz val="10"/>
        <color theme="1"/>
        <rFont val="Arial Unicode MS"/>
        <family val="2"/>
      </rPr>
      <t>0</t>
    </r>
    <r>
      <rPr>
        <sz val="12"/>
        <color theme="1"/>
        <rFont val="Aptos Narrow"/>
        <family val="2"/>
        <scheme val="minor"/>
      </rPr>
      <t xml:space="preserve"> and </t>
    </r>
    <r>
      <rPr>
        <sz val="10"/>
        <color theme="1"/>
        <rFont val="Arial Unicode MS"/>
        <family val="2"/>
      </rPr>
      <t>1</t>
    </r>
    <r>
      <rPr>
        <sz val="12"/>
        <color theme="1"/>
        <rFont val="Aptos Narrow"/>
        <family val="2"/>
        <scheme val="minor"/>
      </rPr>
      <t xml:space="preserve"> accepted</t>
    </r>
  </si>
  <si>
    <t>TC-P-011</t>
  </si>
  <si>
    <r>
      <t xml:space="preserve">Ignored — only </t>
    </r>
    <r>
      <rPr>
        <sz val="10"/>
        <color theme="1"/>
        <rFont val="Arial Unicode MS"/>
        <family val="2"/>
      </rPr>
      <t>0-7</t>
    </r>
    <r>
      <rPr>
        <sz val="12"/>
        <color theme="1"/>
        <rFont val="Aptos Narrow"/>
        <family val="2"/>
        <scheme val="minor"/>
      </rPr>
      <t xml:space="preserve"> accepted</t>
    </r>
  </si>
  <si>
    <t>TC-P-012</t>
  </si>
  <si>
    <t>TC-P-013</t>
  </si>
  <si>
    <t>TC-P-014</t>
  </si>
  <si>
    <t>TC-P-015</t>
  </si>
  <si>
    <t>TC-P-016</t>
  </si>
  <si>
    <t>TC-P-017</t>
  </si>
  <si>
    <t>TC-P-018</t>
  </si>
  <si>
    <t>TC-P-019</t>
  </si>
  <si>
    <t>TC-P-020</t>
  </si>
  <si>
    <t>TC-P-021</t>
  </si>
  <si>
    <t>TC-P-022</t>
  </si>
  <si>
    <t>TC-P-023</t>
  </si>
  <si>
    <t>NOT 0</t>
  </si>
  <si>
    <t>TC-P-024</t>
  </si>
  <si>
    <t>NOT 4294967295</t>
  </si>
  <si>
    <t>TC-P-025</t>
  </si>
  <si>
    <t>TC-P-026</t>
  </si>
  <si>
    <t>TC-P-027</t>
  </si>
  <si>
    <t>TC-P-028</t>
  </si>
  <si>
    <t>TC-P-029</t>
  </si>
  <si>
    <t>TC-P-030</t>
  </si>
  <si>
    <t>1 SHL</t>
  </si>
  <si>
    <t>TC-P-031</t>
  </si>
  <si>
    <t>2147483648 SHL</t>
  </si>
  <si>
    <t>TC-P-032</t>
  </si>
  <si>
    <t>2 SHR</t>
  </si>
  <si>
    <t>TC-P-033</t>
  </si>
  <si>
    <t>TC-P-034</t>
  </si>
  <si>
    <t>2147483648 RoL</t>
  </si>
  <si>
    <r>
      <t>1</t>
    </r>
    <r>
      <rPr>
        <sz val="12"/>
        <color theme="1"/>
        <rFont val="Aptos Narrow"/>
        <family val="2"/>
        <scheme val="minor"/>
      </rPr>
      <t xml:space="preserve"> (MSB rotates to LSB)</t>
    </r>
  </si>
  <si>
    <t>TC-P-035</t>
  </si>
  <si>
    <t>1 RoR</t>
  </si>
  <si>
    <r>
      <t>2147483648</t>
    </r>
    <r>
      <rPr>
        <sz val="12"/>
        <color theme="1"/>
        <rFont val="Aptos Narrow"/>
        <family val="2"/>
        <scheme val="minor"/>
      </rPr>
      <t xml:space="preserve"> (LSB rotates to MSB)</t>
    </r>
  </si>
  <si>
    <t>TC-P-036</t>
  </si>
  <si>
    <t>TC-P-037</t>
  </si>
  <si>
    <t>TC-P-038</t>
  </si>
  <si>
    <t>F</t>
  </si>
  <si>
    <t>TC-P-039</t>
  </si>
  <si>
    <t>TC-P-040</t>
  </si>
  <si>
    <t>TC-EQ-001</t>
  </si>
  <si>
    <r>
      <t>x**2 - 4 = 0</t>
    </r>
    <r>
      <rPr>
        <sz val="12"/>
        <color theme="1"/>
        <rFont val="Aptos Narrow"/>
        <family val="2"/>
        <scheme val="minor"/>
      </rPr>
      <t>, Real</t>
    </r>
  </si>
  <si>
    <r>
      <t>x1=</t>
    </r>
    <r>
      <rPr>
        <sz val="10"/>
        <color theme="1"/>
        <rFont val="Arial Unicode MS"/>
        <family val="2"/>
      </rPr>
      <t>2</t>
    </r>
    <r>
      <rPr>
        <sz val="12"/>
        <color theme="1"/>
        <rFont val="Aptos Narrow"/>
        <family val="2"/>
        <scheme val="minor"/>
      </rPr>
      <t>, x2=</t>
    </r>
    <r>
      <rPr>
        <sz val="10"/>
        <color theme="1"/>
        <rFont val="Arial Unicode MS"/>
        <family val="2"/>
      </rPr>
      <t>-2</t>
    </r>
  </si>
  <si>
    <t>TC-EQ-002</t>
  </si>
  <si>
    <r>
      <t>x**2 + 1 = 0</t>
    </r>
    <r>
      <rPr>
        <sz val="12"/>
        <color theme="1"/>
        <rFont val="Aptos Narrow"/>
        <family val="2"/>
        <scheme val="minor"/>
      </rPr>
      <t>, Real</t>
    </r>
  </si>
  <si>
    <t>No solution (no real roots)</t>
  </si>
  <si>
    <t>TC-EQ-003</t>
  </si>
  <si>
    <r>
      <t>x**2 + 1 = 0</t>
    </r>
    <r>
      <rPr>
        <sz val="12"/>
        <color theme="1"/>
        <rFont val="Aptos Narrow"/>
        <family val="2"/>
        <scheme val="minor"/>
      </rPr>
      <t>, Complex</t>
    </r>
  </si>
  <si>
    <r>
      <t>x1=</t>
    </r>
    <r>
      <rPr>
        <sz val="10"/>
        <color theme="1"/>
        <rFont val="Arial Unicode MS"/>
        <family val="2"/>
      </rPr>
      <t>I</t>
    </r>
    <r>
      <rPr>
        <sz val="12"/>
        <color theme="1"/>
        <rFont val="Aptos Narrow"/>
        <family val="2"/>
        <scheme val="minor"/>
      </rPr>
      <t>, x2=</t>
    </r>
    <r>
      <rPr>
        <sz val="10"/>
        <color theme="1"/>
        <rFont val="Arial Unicode MS"/>
        <family val="2"/>
      </rPr>
      <t>-I</t>
    </r>
  </si>
  <si>
    <t>TC-EQ-004</t>
  </si>
  <si>
    <r>
      <t>x**3 - 6*x**2 + 11*x - 6 = 0</t>
    </r>
    <r>
      <rPr>
        <sz val="12"/>
        <color theme="1"/>
        <rFont val="Aptos Narrow"/>
        <family val="2"/>
        <scheme val="minor"/>
      </rPr>
      <t>, Real</t>
    </r>
  </si>
  <si>
    <r>
      <t>x1=</t>
    </r>
    <r>
      <rPr>
        <sz val="10"/>
        <color theme="1"/>
        <rFont val="Arial Unicode MS"/>
        <family val="2"/>
      </rPr>
      <t>1</t>
    </r>
    <r>
      <rPr>
        <sz val="12"/>
        <color theme="1"/>
        <rFont val="Aptos Narrow"/>
        <family val="2"/>
        <scheme val="minor"/>
      </rPr>
      <t>, x2=</t>
    </r>
    <r>
      <rPr>
        <sz val="10"/>
        <color theme="1"/>
        <rFont val="Arial Unicode MS"/>
        <family val="2"/>
      </rPr>
      <t>2</t>
    </r>
    <r>
      <rPr>
        <sz val="12"/>
        <color theme="1"/>
        <rFont val="Aptos Narrow"/>
        <family val="2"/>
        <scheme val="minor"/>
      </rPr>
      <t>, x3=</t>
    </r>
    <r>
      <rPr>
        <sz val="10"/>
        <color theme="1"/>
        <rFont val="Arial Unicode MS"/>
        <family val="2"/>
      </rPr>
      <t>3</t>
    </r>
  </si>
  <si>
    <t>TC-EQ-005</t>
  </si>
  <si>
    <r>
      <t>sin(x) = 0.5</t>
    </r>
    <r>
      <rPr>
        <sz val="12"/>
        <color theme="1"/>
        <rFont val="Aptos Narrow"/>
        <family val="2"/>
        <scheme val="minor"/>
      </rPr>
      <t>, Real</t>
    </r>
  </si>
  <si>
    <t>TC-EQ-006</t>
  </si>
  <si>
    <r>
      <t>x = x</t>
    </r>
    <r>
      <rPr>
        <sz val="12"/>
        <color theme="1"/>
        <rFont val="Aptos Narrow"/>
        <family val="2"/>
        <scheme val="minor"/>
      </rPr>
      <t>, Real</t>
    </r>
  </si>
  <si>
    <t>All reals — infinite solution set shown cleanly</t>
  </si>
  <si>
    <t>TC-EQ-007</t>
  </si>
  <si>
    <t>Empty input, press Solve</t>
  </si>
  <si>
    <t>No crash, clear error shown</t>
  </si>
  <si>
    <t>TC-EQ-008</t>
  </si>
  <si>
    <r>
      <t>abc = xyz</t>
    </r>
    <r>
      <rPr>
        <sz val="12"/>
        <color theme="1"/>
        <rFont val="Aptos Narrow"/>
        <family val="2"/>
        <scheme val="minor"/>
      </rPr>
      <t>, press Solve</t>
    </r>
  </si>
  <si>
    <t>TC-EQ-009</t>
  </si>
  <si>
    <r>
      <t>Eq1=</t>
    </r>
    <r>
      <rPr>
        <sz val="10"/>
        <color theme="1"/>
        <rFont val="Arial Unicode MS"/>
        <family val="2"/>
      </rPr>
      <t>2*x + y = 5</t>
    </r>
    <r>
      <rPr>
        <sz val="12"/>
        <color theme="1"/>
        <rFont val="Aptos Narrow"/>
        <family val="2"/>
        <scheme val="minor"/>
      </rPr>
      <t>, Eq2=</t>
    </r>
    <r>
      <rPr>
        <sz val="10"/>
        <color theme="1"/>
        <rFont val="Arial Unicode MS"/>
        <family val="2"/>
      </rPr>
      <t>x - y = 1</t>
    </r>
  </si>
  <si>
    <r>
      <t>x=</t>
    </r>
    <r>
      <rPr>
        <sz val="10"/>
        <color theme="1"/>
        <rFont val="Arial Unicode MS"/>
        <family val="2"/>
      </rPr>
      <t>2</t>
    </r>
    <r>
      <rPr>
        <sz val="12"/>
        <color theme="1"/>
        <rFont val="Aptos Narrow"/>
        <family val="2"/>
        <scheme val="minor"/>
      </rPr>
      <t>, y=</t>
    </r>
    <r>
      <rPr>
        <sz val="10"/>
        <color theme="1"/>
        <rFont val="Arial Unicode MS"/>
        <family val="2"/>
      </rPr>
      <t>1</t>
    </r>
  </si>
  <si>
    <t>TC-EQ-010</t>
  </si>
  <si>
    <r>
      <t>Eq1=</t>
    </r>
    <r>
      <rPr>
        <sz val="10"/>
        <color theme="1"/>
        <rFont val="Arial Unicode MS"/>
        <family val="2"/>
      </rPr>
      <t>x + y + z = 6</t>
    </r>
    <r>
      <rPr>
        <sz val="12"/>
        <color theme="1"/>
        <rFont val="Aptos Narrow"/>
        <family val="2"/>
        <scheme val="minor"/>
      </rPr>
      <t>, Eq2=</t>
    </r>
    <r>
      <rPr>
        <sz val="10"/>
        <color theme="1"/>
        <rFont val="Arial Unicode MS"/>
        <family val="2"/>
      </rPr>
      <t>2*x + y = 7</t>
    </r>
    <r>
      <rPr>
        <sz val="12"/>
        <color theme="1"/>
        <rFont val="Aptos Narrow"/>
        <family val="2"/>
        <scheme val="minor"/>
      </rPr>
      <t>, Eq3=</t>
    </r>
    <r>
      <rPr>
        <sz val="10"/>
        <color theme="1"/>
        <rFont val="Arial Unicode MS"/>
        <family val="2"/>
      </rPr>
      <t>x + 2*z = 7</t>
    </r>
  </si>
  <si>
    <t>TC-EQ-011</t>
  </si>
  <si>
    <r>
      <t>Eq1=</t>
    </r>
    <r>
      <rPr>
        <sz val="10"/>
        <color theme="1"/>
        <rFont val="Arial Unicode MS"/>
        <family val="2"/>
      </rPr>
      <t>x + y = 5</t>
    </r>
    <r>
      <rPr>
        <sz val="12"/>
        <color theme="1"/>
        <rFont val="Aptos Narrow"/>
        <family val="2"/>
        <scheme val="minor"/>
      </rPr>
      <t>, Eq2=</t>
    </r>
    <r>
      <rPr>
        <sz val="10"/>
        <color theme="1"/>
        <rFont val="Arial Unicode MS"/>
        <family val="2"/>
      </rPr>
      <t>x + y = 7</t>
    </r>
    <r>
      <rPr>
        <sz val="12"/>
        <color theme="1"/>
        <rFont val="Aptos Narrow"/>
        <family val="2"/>
        <scheme val="minor"/>
      </rPr>
      <t xml:space="preserve"> (inconsistent)</t>
    </r>
  </si>
  <si>
    <r>
      <t>No unique solution</t>
    </r>
    <r>
      <rPr>
        <sz val="12"/>
        <color theme="1"/>
        <rFont val="Aptos Narrow"/>
        <family val="2"/>
        <scheme val="minor"/>
      </rPr>
      <t xml:space="preserve"> — parallel lines</t>
    </r>
  </si>
  <si>
    <t>TC-EQ-012</t>
  </si>
  <si>
    <r>
      <t>Eq1=</t>
    </r>
    <r>
      <rPr>
        <sz val="10"/>
        <color theme="1"/>
        <rFont val="Arial Unicode MS"/>
        <family val="2"/>
      </rPr>
      <t>x + y = 5</t>
    </r>
    <r>
      <rPr>
        <sz val="12"/>
        <color theme="1"/>
        <rFont val="Aptos Narrow"/>
        <family val="2"/>
        <scheme val="minor"/>
      </rPr>
      <t>, Eq2=</t>
    </r>
    <r>
      <rPr>
        <sz val="10"/>
        <color theme="1"/>
        <rFont val="Arial Unicode MS"/>
        <family val="2"/>
      </rPr>
      <t>2*x + 2*y = 10</t>
    </r>
    <r>
      <rPr>
        <sz val="12"/>
        <color theme="1"/>
        <rFont val="Aptos Narrow"/>
        <family val="2"/>
        <scheme val="minor"/>
      </rPr>
      <t xml:space="preserve"> (same line)</t>
    </r>
  </si>
  <si>
    <t>TC-EQ-013</t>
  </si>
  <si>
    <t>Only 1 equation entered</t>
  </si>
  <si>
    <r>
      <t>Enter at least 2 equations</t>
    </r>
    <r>
      <rPr>
        <sz val="12"/>
        <color theme="1"/>
        <rFont val="Aptos Narrow"/>
        <family val="2"/>
        <scheme val="minor"/>
      </rPr>
      <t>, no crash</t>
    </r>
  </si>
  <si>
    <t>TC-EQ-014</t>
  </si>
  <si>
    <r>
      <t>Eq1=</t>
    </r>
    <r>
      <rPr>
        <sz val="10"/>
        <color theme="1"/>
        <rFont val="Arial Unicode MS"/>
        <family val="2"/>
      </rPr>
      <t>abc</t>
    </r>
    <r>
      <rPr>
        <sz val="12"/>
        <color theme="1"/>
        <rFont val="Aptos Narrow"/>
        <family val="2"/>
        <scheme val="minor"/>
      </rPr>
      <t>, Eq2=</t>
    </r>
    <r>
      <rPr>
        <sz val="10"/>
        <color theme="1"/>
        <rFont val="Arial Unicode MS"/>
        <family val="2"/>
      </rPr>
      <t>xyz</t>
    </r>
  </si>
  <si>
    <t>TC-EQ-015</t>
  </si>
  <si>
    <t>Eq1 and Eq2 filled, Eq3 empty</t>
  </si>
  <si>
    <t>Solves as 2-variable system, ignores empty Eq3</t>
  </si>
  <si>
    <t>TC-EQ-016</t>
  </si>
  <si>
    <t>x**2 - 5*x + 6</t>
  </si>
  <si>
    <r>
      <t>Roots x=</t>
    </r>
    <r>
      <rPr>
        <sz val="10"/>
        <color theme="1"/>
        <rFont val="Arial Unicode MS"/>
        <family val="2"/>
      </rPr>
      <t>2</t>
    </r>
    <r>
      <rPr>
        <sz val="12"/>
        <color theme="1"/>
        <rFont val="Aptos Narrow"/>
        <family val="2"/>
        <scheme val="minor"/>
      </rPr>
      <t>, x=</t>
    </r>
    <r>
      <rPr>
        <sz val="10"/>
        <color theme="1"/>
        <rFont val="Arial Unicode MS"/>
        <family val="2"/>
      </rPr>
      <t>3</t>
    </r>
    <r>
      <rPr>
        <sz val="12"/>
        <color theme="1"/>
        <rFont val="Aptos Narrow"/>
        <family val="2"/>
        <scheme val="minor"/>
      </rPr>
      <t>, Factored=</t>
    </r>
    <r>
      <rPr>
        <sz val="10"/>
        <color theme="1"/>
        <rFont val="Arial Unicode MS"/>
        <family val="2"/>
      </rPr>
      <t>(x-2)(x-3)</t>
    </r>
  </si>
  <si>
    <t>TC-EQ-017</t>
  </si>
  <si>
    <t>x**2 + 1</t>
  </si>
  <si>
    <r>
      <t xml:space="preserve">No real roots — complex roots </t>
    </r>
    <r>
      <rPr>
        <sz val="10"/>
        <color theme="1"/>
        <rFont val="Arial Unicode MS"/>
        <family val="2"/>
      </rPr>
      <t>I</t>
    </r>
    <r>
      <rPr>
        <sz val="12"/>
        <color theme="1"/>
        <rFont val="Aptos Narrow"/>
        <family val="2"/>
        <scheme val="minor"/>
      </rPr>
      <t xml:space="preserve"> and </t>
    </r>
    <r>
      <rPr>
        <sz val="10"/>
        <color theme="1"/>
        <rFont val="Arial Unicode MS"/>
        <family val="2"/>
      </rPr>
      <t>-I</t>
    </r>
    <r>
      <rPr>
        <sz val="12"/>
        <color theme="1"/>
        <rFont val="Aptos Narrow"/>
        <family val="2"/>
        <scheme val="minor"/>
      </rPr>
      <t xml:space="preserve"> shown</t>
    </r>
  </si>
  <si>
    <t>TC-EQ-018</t>
  </si>
  <si>
    <t>x**3 - 6*x**2 + 11*x - 6</t>
  </si>
  <si>
    <r>
      <t>Roots x=</t>
    </r>
    <r>
      <rPr>
        <sz val="10"/>
        <color theme="1"/>
        <rFont val="Arial Unicode MS"/>
        <family val="2"/>
      </rPr>
      <t>1</t>
    </r>
    <r>
      <rPr>
        <sz val="12"/>
        <color theme="1"/>
        <rFont val="Aptos Narrow"/>
        <family val="2"/>
        <scheme val="minor"/>
      </rPr>
      <t>, x=</t>
    </r>
    <r>
      <rPr>
        <sz val="10"/>
        <color theme="1"/>
        <rFont val="Arial Unicode MS"/>
        <family val="2"/>
      </rPr>
      <t>2</t>
    </r>
    <r>
      <rPr>
        <sz val="12"/>
        <color theme="1"/>
        <rFont val="Aptos Narrow"/>
        <family val="2"/>
        <scheme val="minor"/>
      </rPr>
      <t>, x=</t>
    </r>
    <r>
      <rPr>
        <sz val="10"/>
        <color theme="1"/>
        <rFont val="Arial Unicode MS"/>
        <family val="2"/>
      </rPr>
      <t>3</t>
    </r>
  </si>
  <si>
    <t>TC-EQ-019</t>
  </si>
  <si>
    <r>
      <t>x</t>
    </r>
    <r>
      <rPr>
        <sz val="12"/>
        <color theme="1"/>
        <rFont val="Aptos Narrow"/>
        <family val="2"/>
        <scheme val="minor"/>
      </rPr>
      <t xml:space="preserve"> (linear)</t>
    </r>
  </si>
  <si>
    <r>
      <t>Root x=</t>
    </r>
    <r>
      <rPr>
        <sz val="10"/>
        <color theme="1"/>
        <rFont val="Arial Unicode MS"/>
        <family val="2"/>
      </rPr>
      <t>0</t>
    </r>
  </si>
  <si>
    <t>TC-EQ-020</t>
  </si>
  <si>
    <r>
      <t>1</t>
    </r>
    <r>
      <rPr>
        <sz val="12"/>
        <color theme="1"/>
        <rFont val="Aptos Narrow"/>
        <family val="2"/>
        <scheme val="minor"/>
      </rPr>
      <t xml:space="preserve"> (constant, no x)</t>
    </r>
  </si>
  <si>
    <t>No roots — verify handled cleanly</t>
  </si>
  <si>
    <t>TC-EQ-021</t>
  </si>
  <si>
    <t>Empty input</t>
  </si>
  <si>
    <t>No crash, clear error</t>
  </si>
  <si>
    <t>TC-EQ-022</t>
  </si>
  <si>
    <r>
      <t>x**3 + sin(x)</t>
    </r>
    <r>
      <rPr>
        <sz val="12"/>
        <color theme="1"/>
        <rFont val="Aptos Narrow"/>
        <family val="2"/>
        <scheme val="minor"/>
      </rPr>
      <t>, order=</t>
    </r>
    <r>
      <rPr>
        <sz val="10"/>
        <color theme="1"/>
        <rFont val="Arial Unicode MS"/>
        <family val="2"/>
      </rPr>
      <t>1</t>
    </r>
  </si>
  <si>
    <t>3*x**2 + cos(x)</t>
  </si>
  <si>
    <t>TC-EQ-023</t>
  </si>
  <si>
    <r>
      <t>x**3</t>
    </r>
    <r>
      <rPr>
        <sz val="12"/>
        <color theme="1"/>
        <rFont val="Aptos Narrow"/>
        <family val="2"/>
        <scheme val="minor"/>
      </rPr>
      <t>, order=</t>
    </r>
    <r>
      <rPr>
        <sz val="10"/>
        <color theme="1"/>
        <rFont val="Arial Unicode MS"/>
        <family val="2"/>
      </rPr>
      <t>2</t>
    </r>
  </si>
  <si>
    <t>6*x</t>
  </si>
  <si>
    <t>TC-EQ-024</t>
  </si>
  <si>
    <r>
      <t>x**3</t>
    </r>
    <r>
      <rPr>
        <sz val="12"/>
        <color theme="1"/>
        <rFont val="Aptos Narrow"/>
        <family val="2"/>
        <scheme val="minor"/>
      </rPr>
      <t>, order=</t>
    </r>
    <r>
      <rPr>
        <sz val="10"/>
        <color theme="1"/>
        <rFont val="Arial Unicode MS"/>
        <family val="2"/>
      </rPr>
      <t>3</t>
    </r>
  </si>
  <si>
    <t>TC-EQ-025</t>
  </si>
  <si>
    <r>
      <t>x**3</t>
    </r>
    <r>
      <rPr>
        <sz val="12"/>
        <color theme="1"/>
        <rFont val="Aptos Narrow"/>
        <family val="2"/>
        <scheme val="minor"/>
      </rPr>
      <t>, order=</t>
    </r>
    <r>
      <rPr>
        <sz val="10"/>
        <color theme="1"/>
        <rFont val="Arial Unicode MS"/>
        <family val="2"/>
      </rPr>
      <t>4</t>
    </r>
  </si>
  <si>
    <r>
      <t>0</t>
    </r>
    <r>
      <rPr>
        <sz val="12"/>
        <color theme="1"/>
        <rFont val="Aptos Narrow"/>
        <family val="2"/>
        <scheme val="minor"/>
      </rPr>
      <t xml:space="preserve"> (derivative beyond degree)</t>
    </r>
  </si>
  <si>
    <t>TC-EQ-026</t>
  </si>
  <si>
    <r>
      <t>5</t>
    </r>
    <r>
      <rPr>
        <sz val="12"/>
        <color theme="1"/>
        <rFont val="Aptos Narrow"/>
        <family val="2"/>
        <scheme val="minor"/>
      </rPr>
      <t xml:space="preserve"> (constant), order=</t>
    </r>
    <r>
      <rPr>
        <sz val="10"/>
        <color theme="1"/>
        <rFont val="Arial Unicode MS"/>
        <family val="2"/>
      </rPr>
      <t>1</t>
    </r>
  </si>
  <si>
    <t>TC-EQ-027</t>
  </si>
  <si>
    <t>Order field empty</t>
  </si>
  <si>
    <t>Defaults to 1st derivative, no crash</t>
  </si>
  <si>
    <t>TC-EQ-028</t>
  </si>
  <si>
    <r>
      <t>x**2</t>
    </r>
    <r>
      <rPr>
        <sz val="12"/>
        <color theme="1"/>
        <rFont val="Aptos Narrow"/>
        <family val="2"/>
        <scheme val="minor"/>
      </rPr>
      <t>, indefinite</t>
    </r>
  </si>
  <si>
    <t>x**3/3 + C</t>
  </si>
  <si>
    <t>TC-EQ-029</t>
  </si>
  <si>
    <r>
      <t>x**2</t>
    </r>
    <r>
      <rPr>
        <sz val="12"/>
        <color theme="1"/>
        <rFont val="Aptos Narrow"/>
        <family val="2"/>
        <scheme val="minor"/>
      </rPr>
      <t>, lower=</t>
    </r>
    <r>
      <rPr>
        <sz val="10"/>
        <color theme="1"/>
        <rFont val="Arial Unicode MS"/>
        <family val="2"/>
      </rPr>
      <t>0</t>
    </r>
    <r>
      <rPr>
        <sz val="12"/>
        <color theme="1"/>
        <rFont val="Aptos Narrow"/>
        <family val="2"/>
        <scheme val="minor"/>
      </rPr>
      <t>, upper=</t>
    </r>
    <r>
      <rPr>
        <sz val="10"/>
        <color theme="1"/>
        <rFont val="Arial Unicode MS"/>
        <family val="2"/>
      </rPr>
      <t>3</t>
    </r>
  </si>
  <si>
    <t>TC-EQ-030</t>
  </si>
  <si>
    <r>
      <t>sin(x)</t>
    </r>
    <r>
      <rPr>
        <sz val="12"/>
        <color theme="1"/>
        <rFont val="Aptos Narrow"/>
        <family val="2"/>
        <scheme val="minor"/>
      </rPr>
      <t>, lower=</t>
    </r>
    <r>
      <rPr>
        <sz val="10"/>
        <color theme="1"/>
        <rFont val="Arial Unicode MS"/>
        <family val="2"/>
      </rPr>
      <t>0</t>
    </r>
    <r>
      <rPr>
        <sz val="12"/>
        <color theme="1"/>
        <rFont val="Aptos Narrow"/>
        <family val="2"/>
        <scheme val="minor"/>
      </rPr>
      <t>, upper=</t>
    </r>
    <r>
      <rPr>
        <sz val="10"/>
        <color theme="1"/>
        <rFont val="Arial Unicode MS"/>
        <family val="2"/>
      </rPr>
      <t>pi</t>
    </r>
  </si>
  <si>
    <t>TC-EQ-031</t>
  </si>
  <si>
    <r>
      <t>1/x</t>
    </r>
    <r>
      <rPr>
        <sz val="12"/>
        <color theme="1"/>
        <rFont val="Aptos Narrow"/>
        <family val="2"/>
        <scheme val="minor"/>
      </rPr>
      <t>, lower=</t>
    </r>
    <r>
      <rPr>
        <sz val="10"/>
        <color theme="1"/>
        <rFont val="Arial Unicode MS"/>
        <family val="2"/>
      </rPr>
      <t>-1</t>
    </r>
    <r>
      <rPr>
        <sz val="12"/>
        <color theme="1"/>
        <rFont val="Aptos Narrow"/>
        <family val="2"/>
        <scheme val="minor"/>
      </rPr>
      <t>, upper=</t>
    </r>
    <r>
      <rPr>
        <sz val="10"/>
        <color theme="1"/>
        <rFont val="Arial Unicode MS"/>
        <family val="2"/>
      </rPr>
      <t>1</t>
    </r>
  </si>
  <si>
    <r>
      <t>Error</t>
    </r>
    <r>
      <rPr>
        <sz val="12"/>
        <color theme="1"/>
        <rFont val="Aptos Narrow"/>
        <family val="2"/>
        <scheme val="minor"/>
      </rPr>
      <t xml:space="preserve"> or warning (discontinuity at 0)</t>
    </r>
  </si>
  <si>
    <t>TC-EQ-032</t>
  </si>
  <si>
    <r>
      <t>1/x</t>
    </r>
    <r>
      <rPr>
        <sz val="12"/>
        <color theme="1"/>
        <rFont val="Aptos Narrow"/>
        <family val="2"/>
        <scheme val="minor"/>
      </rPr>
      <t>, indefinite</t>
    </r>
  </si>
  <si>
    <t>log(x) + C</t>
  </si>
  <si>
    <t>TC-EQ-033</t>
  </si>
  <si>
    <t>Lower bound filled, upper bound empty</t>
  </si>
  <si>
    <t>Treated as indefinite or clear error — no crash</t>
  </si>
  <si>
    <t>TC-EQ-034</t>
  </si>
  <si>
    <t>Empty expression</t>
  </si>
  <si>
    <t>TC-EQ-035</t>
  </si>
  <si>
    <t>(x**2 - 1)/(x - 1)</t>
  </si>
  <si>
    <r>
      <t>Simplified=</t>
    </r>
    <r>
      <rPr>
        <sz val="10"/>
        <color theme="1"/>
        <rFont val="Arial Unicode MS"/>
        <family val="2"/>
      </rPr>
      <t>x+1</t>
    </r>
    <r>
      <rPr>
        <sz val="12"/>
        <color theme="1"/>
        <rFont val="Aptos Narrow"/>
        <family val="2"/>
        <scheme val="minor"/>
      </rPr>
      <t>, Expanded=</t>
    </r>
    <r>
      <rPr>
        <sz val="10"/>
        <color theme="1"/>
        <rFont val="Arial Unicode MS"/>
        <family val="2"/>
      </rPr>
      <t>x+1</t>
    </r>
    <r>
      <rPr>
        <sz val="12"/>
        <color theme="1"/>
        <rFont val="Aptos Narrow"/>
        <family val="2"/>
        <scheme val="minor"/>
      </rPr>
      <t>, Factored=</t>
    </r>
    <r>
      <rPr>
        <sz val="10"/>
        <color theme="1"/>
        <rFont val="Arial Unicode MS"/>
        <family val="2"/>
      </rPr>
      <t>x+1</t>
    </r>
  </si>
  <si>
    <t>TC-EQ-036</t>
  </si>
  <si>
    <t>(x+1)**3</t>
  </si>
  <si>
    <r>
      <t>Expanded=</t>
    </r>
    <r>
      <rPr>
        <sz val="10"/>
        <color theme="1"/>
        <rFont val="Arial Unicode MS"/>
        <family val="2"/>
      </rPr>
      <t>x**3+3*x**2+3*x+1</t>
    </r>
    <r>
      <rPr>
        <sz val="12"/>
        <color theme="1"/>
        <rFont val="Aptos Narrow"/>
        <family val="2"/>
        <scheme val="minor"/>
      </rPr>
      <t>, Factored=</t>
    </r>
    <r>
      <rPr>
        <sz val="10"/>
        <color theme="1"/>
        <rFont val="Arial Unicode MS"/>
        <family val="2"/>
      </rPr>
      <t>(x+1)**3</t>
    </r>
  </si>
  <si>
    <t>TC-EQ-037</t>
  </si>
  <si>
    <t>x**2 - 4</t>
  </si>
  <si>
    <r>
      <t>Factored=</t>
    </r>
    <r>
      <rPr>
        <sz val="10"/>
        <color theme="1"/>
        <rFont val="Arial Unicode MS"/>
        <family val="2"/>
      </rPr>
      <t>(x-2)(x+2)</t>
    </r>
  </si>
  <si>
    <t>TC-EQ-038</t>
  </si>
  <si>
    <t>sin(x)**2 + cos(x)**2</t>
  </si>
  <si>
    <r>
      <t>Simplified=</t>
    </r>
    <r>
      <rPr>
        <sz val="10"/>
        <color theme="1"/>
        <rFont val="Arial Unicode MS"/>
        <family val="2"/>
      </rPr>
      <t>1</t>
    </r>
  </si>
  <si>
    <t>TC-EQ-039</t>
  </si>
  <si>
    <r>
      <t>1</t>
    </r>
    <r>
      <rPr>
        <sz val="12"/>
        <color theme="1"/>
        <rFont val="Aptos Narrow"/>
        <family val="2"/>
        <scheme val="minor"/>
      </rPr>
      <t xml:space="preserve"> (constant)</t>
    </r>
  </si>
  <si>
    <r>
      <t>Original=</t>
    </r>
    <r>
      <rPr>
        <sz val="10"/>
        <color theme="1"/>
        <rFont val="Arial Unicode MS"/>
        <family val="2"/>
      </rPr>
      <t>1</t>
    </r>
    <r>
      <rPr>
        <sz val="12"/>
        <color theme="1"/>
        <rFont val="Aptos Narrow"/>
        <family val="2"/>
        <scheme val="minor"/>
      </rPr>
      <t>, Simplified=</t>
    </r>
    <r>
      <rPr>
        <sz val="10"/>
        <color theme="1"/>
        <rFont val="Arial Unicode MS"/>
        <family val="2"/>
      </rPr>
      <t>1</t>
    </r>
    <r>
      <rPr>
        <sz val="12"/>
        <color theme="1"/>
        <rFont val="Aptos Narrow"/>
        <family val="2"/>
        <scheme val="minor"/>
      </rPr>
      <t>, no crash</t>
    </r>
  </si>
  <si>
    <t>TC-EQ-040</t>
  </si>
  <si>
    <t>TC-C-001</t>
  </si>
  <si>
    <t>TC-C-002</t>
  </si>
  <si>
    <t>TC-C-003</t>
  </si>
  <si>
    <t>TC-C-004</t>
  </si>
  <si>
    <t>Error: Value cannot be negative</t>
  </si>
  <si>
    <t>TC-C-005</t>
  </si>
  <si>
    <t>TC-C-006</t>
  </si>
  <si>
    <t>TC-C-007</t>
  </si>
  <si>
    <t>TC-C-008</t>
  </si>
  <si>
    <t>TC-C-009</t>
  </si>
  <si>
    <t>TC-C-010</t>
  </si>
  <si>
    <t>TC-C-011</t>
  </si>
  <si>
    <t>TC-C-012</t>
  </si>
  <si>
    <t>TC-C-013</t>
  </si>
  <si>
    <t>Error: Temperature below absolute zero</t>
  </si>
  <si>
    <t>TC-C-014</t>
  </si>
  <si>
    <t>TC-C-015</t>
  </si>
  <si>
    <t>TC-C-016</t>
  </si>
  <si>
    <t>TC-C-017</t>
  </si>
  <si>
    <t>TC-C-018</t>
  </si>
  <si>
    <t>TC-C-019</t>
  </si>
  <si>
    <t>TC-C-020</t>
  </si>
  <si>
    <t>TC-C-021</t>
  </si>
  <si>
    <t>TC-C-022</t>
  </si>
  <si>
    <t>TC-C-023</t>
  </si>
  <si>
    <t>TC-C-024</t>
  </si>
  <si>
    <t>TC-C-025</t>
  </si>
  <si>
    <t>TC-C-026</t>
  </si>
  <si>
    <t>TC-C-027</t>
  </si>
  <si>
    <t>TC-C-028</t>
  </si>
  <si>
    <t>TC-C-029</t>
  </si>
  <si>
    <t>TC-C-030</t>
  </si>
  <si>
    <t>TC-C-031</t>
  </si>
  <si>
    <t>TC-C-032</t>
  </si>
  <si>
    <t>TC-C-033</t>
  </si>
  <si>
    <t>TC-C-034</t>
  </si>
  <si>
    <t>TC-C-035</t>
  </si>
  <si>
    <t>Live rate shown, note shows last updated time</t>
  </si>
  <si>
    <t>TC-C-036</t>
  </si>
  <si>
    <t>Offline demo rate shown, warning displayed</t>
  </si>
  <si>
    <t>TC-C-037</t>
  </si>
  <si>
    <t>TC-C-038</t>
  </si>
  <si>
    <t>TC-C-039</t>
  </si>
  <si>
    <t>TC-C-040</t>
  </si>
  <si>
    <t>Same unit From and To e.g. Meter → Meter</t>
  </si>
  <si>
    <t>Same value returned, no crash</t>
  </si>
  <si>
    <t>TC-C-041</t>
  </si>
  <si>
    <t>Press ⇄ Swap button</t>
  </si>
  <si>
    <t>From and To units swap, result recalculates</t>
  </si>
  <si>
    <t>TC-C-042</t>
  </si>
  <si>
    <t>Switch category mid-session</t>
  </si>
  <si>
    <t>Units reset correctly to new category defaults</t>
  </si>
  <si>
    <t>TC-C-043</t>
  </si>
  <si>
    <t>Type value, change From unit via dropdown</t>
  </si>
  <si>
    <t>Result updates immediately without pressing Convert</t>
  </si>
  <si>
    <t>TC-C-044</t>
  </si>
  <si>
    <t>Type value, change To unit via dropdown</t>
  </si>
  <si>
    <r>
      <t>x=</t>
    </r>
    <r>
      <rPr>
        <sz val="10"/>
        <color theme="1"/>
        <rFont val="Arial Unicode MS"/>
        <family val="2"/>
      </rPr>
      <t>3</t>
    </r>
    <r>
      <rPr>
        <sz val="12"/>
        <color theme="1"/>
        <rFont val="Aptos Narrow"/>
        <family val="2"/>
        <scheme val="minor"/>
      </rPr>
      <t>, y=</t>
    </r>
    <r>
      <rPr>
        <sz val="10"/>
        <color theme="1"/>
        <rFont val="Arial Unicode MS"/>
        <family val="2"/>
      </rPr>
      <t>1</t>
    </r>
    <r>
      <rPr>
        <sz val="12"/>
        <color theme="1"/>
        <rFont val="Aptos Narrow"/>
        <family val="2"/>
        <scheme val="minor"/>
      </rPr>
      <t>, z=</t>
    </r>
    <r>
      <rPr>
        <sz val="10"/>
        <color theme="1"/>
        <rFont val="Arial Unicode MS"/>
        <family val="2"/>
      </rPr>
      <t>2</t>
    </r>
  </si>
  <si>
    <t>Answer not updated on output error on lower box</t>
  </si>
  <si>
    <t>x = 5 - y</t>
  </si>
  <si>
    <t>Solving: Eq(sin(x), 0.5)
Solution set: Union(ImageSet(Lambda(_n, 2*_n*pi + 0.523598775598299), Integers), ImageSet(Lambda(_n, 2*_n*pi - 0.523598775598299 + pi), Integers))</t>
  </si>
  <si>
    <r>
      <t xml:space="preserve">Type </t>
    </r>
    <r>
      <rPr>
        <sz val="10"/>
        <color theme="1"/>
        <rFont val="Arial Unicode MS"/>
        <family val="2"/>
      </rPr>
      <t>255</t>
    </r>
    <r>
      <rPr>
        <sz val="12"/>
        <color theme="1"/>
        <rFont val="Aptos Narrow"/>
        <family val="2"/>
        <scheme val="minor"/>
      </rPr>
      <t xml:space="preserve"> in DEC mode</t>
    </r>
  </si>
  <si>
    <r>
      <t>HEX=</t>
    </r>
    <r>
      <rPr>
        <sz val="10"/>
        <color theme="1"/>
        <rFont val="Arial Unicode MS"/>
        <family val="2"/>
      </rPr>
      <t>0000 00FF</t>
    </r>
    <r>
      <rPr>
        <sz val="12"/>
        <color theme="1"/>
        <rFont val="Aptos Narrow"/>
        <family val="2"/>
        <scheme val="minor"/>
      </rPr>
      <t>, DEC=</t>
    </r>
    <r>
      <rPr>
        <sz val="10"/>
        <color theme="1"/>
        <rFont val="Arial Unicode MS"/>
        <family val="2"/>
      </rPr>
      <t>255</t>
    </r>
    <r>
      <rPr>
        <sz val="12"/>
        <color theme="1"/>
        <rFont val="Aptos Narrow"/>
        <family val="2"/>
        <scheme val="minor"/>
      </rPr>
      <t>, OCT=</t>
    </r>
    <r>
      <rPr>
        <sz val="10"/>
        <color theme="1"/>
        <rFont val="Arial Unicode MS"/>
        <family val="2"/>
      </rPr>
      <t>377</t>
    </r>
    <r>
      <rPr>
        <sz val="12"/>
        <color theme="1"/>
        <rFont val="Aptos Narrow"/>
        <family val="2"/>
        <scheme val="minor"/>
      </rPr>
      <t>, BIN=</t>
    </r>
    <r>
      <rPr>
        <sz val="10"/>
        <color theme="1"/>
        <rFont val="Arial Unicode MS"/>
        <family val="2"/>
      </rPr>
      <t>1111 1111</t>
    </r>
    <r>
      <rPr>
        <sz val="12"/>
        <color theme="1"/>
        <rFont val="Aptos Narrow"/>
        <family val="2"/>
        <scheme val="minor"/>
      </rPr>
      <t>, ASCII=</t>
    </r>
    <r>
      <rPr>
        <sz val="10"/>
        <color theme="1"/>
        <rFont val="Arial Unicode MS"/>
        <family val="2"/>
      </rPr>
      <t>ÿ</t>
    </r>
  </si>
  <si>
    <r>
      <t xml:space="preserve">Switch to HEX, type </t>
    </r>
    <r>
      <rPr>
        <sz val="10"/>
        <color theme="1"/>
        <rFont val="Arial Unicode MS"/>
        <family val="2"/>
      </rPr>
      <t>FF</t>
    </r>
  </si>
  <si>
    <r>
      <t>HEX=</t>
    </r>
    <r>
      <rPr>
        <sz val="10"/>
        <color theme="1"/>
        <rFont val="Arial Unicode MS"/>
        <family val="2"/>
      </rPr>
      <t>0000 00FF</t>
    </r>
    <r>
      <rPr>
        <sz val="12"/>
        <color theme="1"/>
        <rFont val="Aptos Narrow"/>
        <family val="2"/>
        <scheme val="minor"/>
      </rPr>
      <t>, DEC=</t>
    </r>
    <r>
      <rPr>
        <sz val="10"/>
        <color theme="1"/>
        <rFont val="Arial Unicode MS"/>
        <family val="2"/>
      </rPr>
      <t>255</t>
    </r>
    <r>
      <rPr>
        <sz val="12"/>
        <color theme="1"/>
        <rFont val="Aptos Narrow"/>
        <family val="2"/>
        <scheme val="minor"/>
      </rPr>
      <t>, OCT=</t>
    </r>
    <r>
      <rPr>
        <sz val="10"/>
        <color theme="1"/>
        <rFont val="Arial Unicode MS"/>
        <family val="2"/>
      </rPr>
      <t>377</t>
    </r>
    <r>
      <rPr>
        <sz val="12"/>
        <color theme="1"/>
        <rFont val="Aptos Narrow"/>
        <family val="2"/>
        <scheme val="minor"/>
      </rPr>
      <t>, BIN=</t>
    </r>
    <r>
      <rPr>
        <sz val="10"/>
        <color theme="1"/>
        <rFont val="Arial Unicode MS"/>
        <family val="2"/>
      </rPr>
      <t>1111 1111</t>
    </r>
  </si>
  <si>
    <r>
      <t xml:space="preserve">Switch to BIN, type </t>
    </r>
    <r>
      <rPr>
        <sz val="10"/>
        <color theme="1"/>
        <rFont val="Arial Unicode MS"/>
        <family val="2"/>
      </rPr>
      <t>11111111</t>
    </r>
  </si>
  <si>
    <r>
      <t>HEX=</t>
    </r>
    <r>
      <rPr>
        <sz val="10"/>
        <color theme="1"/>
        <rFont val="Arial Unicode MS"/>
        <family val="2"/>
      </rPr>
      <t>0000 00FF</t>
    </r>
    <r>
      <rPr>
        <sz val="12"/>
        <color theme="1"/>
        <rFont val="Aptos Narrow"/>
        <family val="2"/>
        <scheme val="minor"/>
      </rPr>
      <t>, DEC=</t>
    </r>
    <r>
      <rPr>
        <sz val="10"/>
        <color theme="1"/>
        <rFont val="Arial Unicode MS"/>
        <family val="2"/>
      </rPr>
      <t>255</t>
    </r>
    <r>
      <rPr>
        <sz val="12"/>
        <color theme="1"/>
        <rFont val="Aptos Narrow"/>
        <family val="2"/>
        <scheme val="minor"/>
      </rPr>
      <t>, OCT=</t>
    </r>
    <r>
      <rPr>
        <sz val="10"/>
        <color theme="1"/>
        <rFont val="Arial Unicode MS"/>
        <family val="2"/>
      </rPr>
      <t>377</t>
    </r>
    <r>
      <rPr>
        <sz val="12"/>
        <color theme="1"/>
        <rFont val="Aptos Narrow"/>
        <family val="2"/>
        <scheme val="minor"/>
      </rPr>
      <t>, BIN=</t>
    </r>
    <r>
      <rPr>
        <sz val="10"/>
        <color theme="1"/>
        <rFont val="Arial Unicode MS"/>
        <family val="2"/>
      </rPr>
      <t>0000 1111 1111</t>
    </r>
  </si>
  <si>
    <r>
      <t xml:space="preserve">Switch to OCT, type </t>
    </r>
    <r>
      <rPr>
        <sz val="10"/>
        <color theme="1"/>
        <rFont val="Arial Unicode MS"/>
        <family val="2"/>
      </rPr>
      <t>377</t>
    </r>
  </si>
  <si>
    <r>
      <t xml:space="preserve">Switch to HEX, type </t>
    </r>
    <r>
      <rPr>
        <sz val="10"/>
        <color theme="1"/>
        <rFont val="Arial Unicode MS"/>
        <family val="2"/>
      </rPr>
      <t>G</t>
    </r>
  </si>
  <si>
    <r>
      <t xml:space="preserve">Switch to BIN, type </t>
    </r>
    <r>
      <rPr>
        <sz val="10"/>
        <color theme="1"/>
        <rFont val="Arial Unicode MS"/>
        <family val="2"/>
      </rPr>
      <t>2</t>
    </r>
  </si>
  <si>
    <r>
      <t xml:space="preserve">Switch to OCT, type </t>
    </r>
    <r>
      <rPr>
        <sz val="10"/>
        <color theme="1"/>
        <rFont val="Arial Unicode MS"/>
        <family val="2"/>
      </rPr>
      <t>8</t>
    </r>
    <r>
      <rPr>
        <sz val="12"/>
        <color theme="1"/>
        <rFont val="Aptos Narrow"/>
        <family val="2"/>
        <scheme val="minor"/>
      </rPr>
      <t xml:space="preserve"> or </t>
    </r>
    <r>
      <rPr>
        <sz val="10"/>
        <color theme="1"/>
        <rFont val="Arial Unicode MS"/>
        <family val="2"/>
      </rPr>
      <t>9</t>
    </r>
  </si>
  <si>
    <r>
      <t xml:space="preserve">Switch to HEX, type </t>
    </r>
    <r>
      <rPr>
        <sz val="10"/>
        <color theme="1"/>
        <rFont val="Arial Unicode MS"/>
        <family val="2"/>
      </rPr>
      <t>A</t>
    </r>
    <r>
      <rPr>
        <sz val="12"/>
        <color theme="1"/>
        <rFont val="Aptos Narrow"/>
        <family val="2"/>
        <scheme val="minor"/>
      </rPr>
      <t xml:space="preserve"> </t>
    </r>
    <r>
      <rPr>
        <sz val="10"/>
        <color theme="1"/>
        <rFont val="Arial Unicode MS"/>
        <family val="2"/>
      </rPr>
      <t>B</t>
    </r>
    <r>
      <rPr>
        <sz val="12"/>
        <color theme="1"/>
        <rFont val="Aptos Narrow"/>
        <family val="2"/>
        <scheme val="minor"/>
      </rPr>
      <t xml:space="preserve"> </t>
    </r>
    <r>
      <rPr>
        <sz val="10"/>
        <color theme="1"/>
        <rFont val="Arial Unicode MS"/>
        <family val="2"/>
      </rPr>
      <t>C</t>
    </r>
    <r>
      <rPr>
        <sz val="12"/>
        <color theme="1"/>
        <rFont val="Aptos Narrow"/>
        <family val="2"/>
        <scheme val="minor"/>
      </rPr>
      <t xml:space="preserve"> </t>
    </r>
    <r>
      <rPr>
        <sz val="10"/>
        <color theme="1"/>
        <rFont val="Arial Unicode MS"/>
        <family val="2"/>
      </rPr>
      <t>D</t>
    </r>
    <r>
      <rPr>
        <sz val="12"/>
        <color theme="1"/>
        <rFont val="Aptos Narrow"/>
        <family val="2"/>
        <scheme val="minor"/>
      </rPr>
      <t xml:space="preserve"> </t>
    </r>
    <r>
      <rPr>
        <sz val="10"/>
        <color theme="1"/>
        <rFont val="Arial Unicode MS"/>
        <family val="2"/>
      </rPr>
      <t>E</t>
    </r>
    <r>
      <rPr>
        <sz val="12"/>
        <color theme="1"/>
        <rFont val="Aptos Narrow"/>
        <family val="2"/>
        <scheme val="minor"/>
      </rPr>
      <t xml:space="preserve"> </t>
    </r>
    <r>
      <rPr>
        <sz val="10"/>
        <color theme="1"/>
        <rFont val="Arial Unicode MS"/>
        <family val="2"/>
      </rPr>
      <t>F</t>
    </r>
  </si>
  <si>
    <t>All accepted, correct DEC values shown</t>
  </si>
  <si>
    <r>
      <t xml:space="preserve">Type </t>
    </r>
    <r>
      <rPr>
        <sz val="10"/>
        <color theme="1"/>
        <rFont val="Arial Unicode MS"/>
        <family val="2"/>
      </rPr>
      <t>255</t>
    </r>
    <r>
      <rPr>
        <sz val="12"/>
        <color theme="1"/>
        <rFont val="Aptos Narrow"/>
        <family val="2"/>
        <scheme val="minor"/>
      </rPr>
      <t xml:space="preserve"> in DEC, switch to HEX mode</t>
    </r>
  </si>
  <si>
    <t>Result box unchanged — all 4 still shown, HEX input now enabled</t>
  </si>
  <si>
    <r>
      <t xml:space="preserve">Type </t>
    </r>
    <r>
      <rPr>
        <sz val="10"/>
        <color theme="1"/>
        <rFont val="Arial Unicode MS"/>
        <family val="2"/>
      </rPr>
      <t>65</t>
    </r>
    <r>
      <rPr>
        <sz val="12"/>
        <color theme="1"/>
        <rFont val="Aptos Narrow"/>
        <family val="2"/>
        <scheme val="minor"/>
      </rPr>
      <t xml:space="preserve"> in DEC</t>
    </r>
  </si>
  <si>
    <r>
      <t>ASCII=</t>
    </r>
    <r>
      <rPr>
        <sz val="10"/>
        <color theme="1"/>
        <rFont val="Arial Unicode MS"/>
        <family val="2"/>
      </rPr>
      <t>A</t>
    </r>
    <r>
      <rPr>
        <sz val="12"/>
        <color theme="1"/>
        <rFont val="Aptos Narrow"/>
        <family val="2"/>
        <scheme val="minor"/>
      </rPr>
      <t xml:space="preserve"> shown correctly</t>
    </r>
  </si>
  <si>
    <r>
      <t xml:space="preserve">Type </t>
    </r>
    <r>
      <rPr>
        <sz val="10"/>
        <color theme="1"/>
        <rFont val="Arial Unicode MS"/>
        <family val="2"/>
      </rPr>
      <t>2147483647</t>
    </r>
    <r>
      <rPr>
        <sz val="12"/>
        <color theme="1"/>
        <rFont val="Aptos Narrow"/>
        <family val="2"/>
        <scheme val="minor"/>
      </rPr>
      <t xml:space="preserve"> in DEC, Signed mode</t>
    </r>
  </si>
  <si>
    <t>Largest positive 32-bit signed integer, no wrap</t>
  </si>
  <si>
    <r>
      <t xml:space="preserve">Type </t>
    </r>
    <r>
      <rPr>
        <sz val="10"/>
        <color theme="1"/>
        <rFont val="Arial Unicode MS"/>
        <family val="2"/>
      </rPr>
      <t>2147483648</t>
    </r>
    <r>
      <rPr>
        <sz val="12"/>
        <color theme="1"/>
        <rFont val="Aptos Narrow"/>
        <family val="2"/>
        <scheme val="minor"/>
      </rPr>
      <t xml:space="preserve"> in DEC, Signed mode</t>
    </r>
  </si>
  <si>
    <r>
      <t xml:space="preserve">Shows as </t>
    </r>
    <r>
      <rPr>
        <sz val="10"/>
        <color theme="1"/>
        <rFont val="Arial Unicode MS"/>
        <family val="2"/>
      </rPr>
      <t>-2147483648</t>
    </r>
    <r>
      <rPr>
        <sz val="12"/>
        <color theme="1"/>
        <rFont val="Aptos Narrow"/>
        <family val="2"/>
        <scheme val="minor"/>
      </rPr>
      <t xml:space="preserve"> (wraps to negative)</t>
    </r>
  </si>
  <si>
    <r>
      <t xml:space="preserve">Type </t>
    </r>
    <r>
      <rPr>
        <sz val="10"/>
        <color theme="1"/>
        <rFont val="Arial Unicode MS"/>
        <family val="2"/>
      </rPr>
      <t>4294967295</t>
    </r>
    <r>
      <rPr>
        <sz val="12"/>
        <color theme="1"/>
        <rFont val="Aptos Narrow"/>
        <family val="2"/>
        <scheme val="minor"/>
      </rPr>
      <t xml:space="preserve"> in DEC, Unsigned mode</t>
    </r>
  </si>
  <si>
    <r>
      <t xml:space="preserve">Shows </t>
    </r>
    <r>
      <rPr>
        <sz val="10"/>
        <color theme="1"/>
        <rFont val="Arial Unicode MS"/>
        <family val="2"/>
      </rPr>
      <t>4294967295</t>
    </r>
    <r>
      <rPr>
        <sz val="12"/>
        <color theme="1"/>
        <rFont val="Aptos Narrow"/>
        <family val="2"/>
        <scheme val="minor"/>
      </rPr>
      <t xml:space="preserve"> correctly</t>
    </r>
  </si>
  <si>
    <r>
      <t xml:space="preserve">Type </t>
    </r>
    <r>
      <rPr>
        <sz val="10"/>
        <color theme="1"/>
        <rFont val="Arial Unicode MS"/>
        <family val="2"/>
      </rPr>
      <t>4294967295</t>
    </r>
    <r>
      <rPr>
        <sz val="12"/>
        <color theme="1"/>
        <rFont val="Aptos Narrow"/>
        <family val="2"/>
        <scheme val="minor"/>
      </rPr>
      <t>, toggle Signed→Unsigned</t>
    </r>
  </si>
  <si>
    <r>
      <t>Signed=</t>
    </r>
    <r>
      <rPr>
        <sz val="10"/>
        <color theme="1"/>
        <rFont val="Arial Unicode MS"/>
        <family val="2"/>
      </rPr>
      <t>-1</t>
    </r>
    <r>
      <rPr>
        <sz val="12"/>
        <color theme="1"/>
        <rFont val="Aptos Narrow"/>
        <family val="2"/>
        <scheme val="minor"/>
      </rPr>
      <t>, Unsigned=</t>
    </r>
    <r>
      <rPr>
        <sz val="10"/>
        <color theme="1"/>
        <rFont val="Arial Unicode MS"/>
        <family val="2"/>
      </rPr>
      <t>4294967295</t>
    </r>
    <r>
      <rPr>
        <sz val="12"/>
        <color theme="1"/>
        <rFont val="Aptos Narrow"/>
        <family val="2"/>
        <scheme val="minor"/>
      </rPr>
      <t xml:space="preserve"> — verify toggle updates display</t>
    </r>
  </si>
  <si>
    <r>
      <t xml:space="preserve">Type </t>
    </r>
    <r>
      <rPr>
        <sz val="10"/>
        <color theme="1"/>
        <rFont val="Arial Unicode MS"/>
        <family val="2"/>
      </rPr>
      <t>5</t>
    </r>
    <r>
      <rPr>
        <sz val="12"/>
        <color theme="1"/>
        <rFont val="Aptos Narrow"/>
        <family val="2"/>
        <scheme val="minor"/>
      </rPr>
      <t>, press ± in Signed mode</t>
    </r>
  </si>
  <si>
    <r>
      <t>-5</t>
    </r>
    <r>
      <rPr>
        <sz val="12"/>
        <color theme="1"/>
        <rFont val="Aptos Narrow"/>
        <family val="2"/>
        <scheme val="minor"/>
      </rPr>
      <t xml:space="preserve"> via 2s complement wrapping</t>
    </r>
  </si>
  <si>
    <t>Click bit 0 (LSB)</t>
  </si>
  <si>
    <r>
      <t xml:space="preserve">Value increases by </t>
    </r>
    <r>
      <rPr>
        <sz val="10"/>
        <color theme="1"/>
        <rFont val="Arial Unicode MS"/>
        <family val="2"/>
      </rPr>
      <t>1</t>
    </r>
    <r>
      <rPr>
        <sz val="12"/>
        <color theme="1"/>
        <rFont val="Aptos Narrow"/>
        <family val="2"/>
        <scheme val="minor"/>
      </rPr>
      <t>, all 4 representations update</t>
    </r>
  </si>
  <si>
    <t>Click same bit again</t>
  </si>
  <si>
    <r>
      <t xml:space="preserve">Value decreases by </t>
    </r>
    <r>
      <rPr>
        <sz val="10"/>
        <color theme="1"/>
        <rFont val="Arial Unicode MS"/>
        <family val="2"/>
      </rPr>
      <t>1</t>
    </r>
    <r>
      <rPr>
        <sz val="12"/>
        <color theme="1"/>
        <rFont val="Aptos Narrow"/>
        <family val="2"/>
        <scheme val="minor"/>
      </rPr>
      <t>, all 4 representations update</t>
    </r>
  </si>
  <si>
    <t>Click bit 31 (MSB) in Signed mode</t>
  </si>
  <si>
    <t>Value goes negative, shown in red</t>
  </si>
  <si>
    <t>Toggle bits 0, 1, 2</t>
  </si>
  <si>
    <r>
      <t>DEC=</t>
    </r>
    <r>
      <rPr>
        <sz val="10"/>
        <color theme="1"/>
        <rFont val="Arial Unicode MS"/>
        <family val="2"/>
      </rPr>
      <t>7</t>
    </r>
    <r>
      <rPr>
        <sz val="12"/>
        <color theme="1"/>
        <rFont val="Aptos Narrow"/>
        <family val="2"/>
        <scheme val="minor"/>
      </rPr>
      <t>, HEX=</t>
    </r>
    <r>
      <rPr>
        <sz val="10"/>
        <color theme="1"/>
        <rFont val="Arial Unicode MS"/>
        <family val="2"/>
      </rPr>
      <t>7</t>
    </r>
    <r>
      <rPr>
        <sz val="12"/>
        <color theme="1"/>
        <rFont val="Aptos Narrow"/>
        <family val="2"/>
        <scheme val="minor"/>
      </rPr>
      <t>, BIN=</t>
    </r>
    <r>
      <rPr>
        <sz val="10"/>
        <color theme="1"/>
        <rFont val="Arial Unicode MS"/>
        <family val="2"/>
      </rPr>
      <t>0000 0111</t>
    </r>
  </si>
  <si>
    <r>
      <t xml:space="preserve">Type </t>
    </r>
    <r>
      <rPr>
        <sz val="10"/>
        <color theme="1"/>
        <rFont val="Arial Unicode MS"/>
        <family val="2"/>
      </rPr>
      <t>4294967295</t>
    </r>
    <r>
      <rPr>
        <sz val="12"/>
        <color theme="1"/>
        <rFont val="Aptos Narrow"/>
        <family val="2"/>
        <scheme val="minor"/>
      </rPr>
      <t>, verify bit grid</t>
    </r>
  </si>
  <si>
    <r>
      <t xml:space="preserve">All 32 bits show </t>
    </r>
    <r>
      <rPr>
        <sz val="10"/>
        <color theme="1"/>
        <rFont val="Arial Unicode MS"/>
        <family val="2"/>
      </rPr>
      <t>1</t>
    </r>
  </si>
  <si>
    <t>255 + 1 =</t>
  </si>
  <si>
    <r>
      <t>DEC=</t>
    </r>
    <r>
      <rPr>
        <sz val="10"/>
        <color theme="1"/>
        <rFont val="Arial Unicode MS"/>
        <family val="2"/>
      </rPr>
      <t>256</t>
    </r>
    <r>
      <rPr>
        <sz val="12"/>
        <color theme="1"/>
        <rFont val="Aptos Narrow"/>
        <family val="2"/>
        <scheme val="minor"/>
      </rPr>
      <t>, HEX=</t>
    </r>
    <r>
      <rPr>
        <sz val="10"/>
        <color theme="1"/>
        <rFont val="Arial Unicode MS"/>
        <family val="2"/>
      </rPr>
      <t>0000 0100</t>
    </r>
  </si>
  <si>
    <t>255 − 1 =</t>
  </si>
  <si>
    <r>
      <t>DEC=</t>
    </r>
    <r>
      <rPr>
        <sz val="10"/>
        <color theme="1"/>
        <rFont val="Arial Unicode MS"/>
        <family val="2"/>
      </rPr>
      <t>254</t>
    </r>
    <r>
      <rPr>
        <sz val="12"/>
        <color theme="1"/>
        <rFont val="Aptos Narrow"/>
        <family val="2"/>
        <scheme val="minor"/>
      </rPr>
      <t>, HEX=</t>
    </r>
    <r>
      <rPr>
        <sz val="10"/>
        <color theme="1"/>
        <rFont val="Arial Unicode MS"/>
        <family val="2"/>
      </rPr>
      <t>0000 00FE</t>
    </r>
  </si>
  <si>
    <t>255 × 2 =</t>
  </si>
  <si>
    <r>
      <t>DEC=</t>
    </r>
    <r>
      <rPr>
        <sz val="10"/>
        <color theme="1"/>
        <rFont val="Arial Unicode MS"/>
        <family val="2"/>
      </rPr>
      <t>510</t>
    </r>
    <r>
      <rPr>
        <sz val="12"/>
        <color theme="1"/>
        <rFont val="Aptos Narrow"/>
        <family val="2"/>
        <scheme val="minor"/>
      </rPr>
      <t>, HEX=</t>
    </r>
    <r>
      <rPr>
        <sz val="10"/>
        <color theme="1"/>
        <rFont val="Arial Unicode MS"/>
        <family val="2"/>
      </rPr>
      <t>0000 01FE</t>
    </r>
  </si>
  <si>
    <t>255 ÷ 2 =</t>
  </si>
  <si>
    <r>
      <t>DEC=</t>
    </r>
    <r>
      <rPr>
        <sz val="10"/>
        <color theme="1"/>
        <rFont val="Arial Unicode MS"/>
        <family val="2"/>
      </rPr>
      <t>127</t>
    </r>
    <r>
      <rPr>
        <sz val="12"/>
        <color theme="1"/>
        <rFont val="Aptos Narrow"/>
        <family val="2"/>
        <scheme val="minor"/>
      </rPr>
      <t xml:space="preserve"> (integer division)</t>
    </r>
  </si>
  <si>
    <t>17 MOD 5 =</t>
  </si>
  <si>
    <r>
      <t>DEC=</t>
    </r>
    <r>
      <rPr>
        <sz val="10"/>
        <color theme="1"/>
        <rFont val="Arial Unicode MS"/>
        <family val="2"/>
      </rPr>
      <t>2</t>
    </r>
  </si>
  <si>
    <t>12 AND 10 =</t>
  </si>
  <si>
    <t>12 OR 10 =</t>
  </si>
  <si>
    <t>12 XOR 10 =</t>
  </si>
  <si>
    <r>
      <t>4294967295</t>
    </r>
    <r>
      <rPr>
        <sz val="12"/>
        <color theme="1"/>
        <rFont val="Aptos Narrow"/>
        <family val="2"/>
        <scheme val="minor"/>
      </rPr>
      <t xml:space="preserve"> (all bits flipped)</t>
    </r>
  </si>
  <si>
    <t>12 NAND 10 =</t>
  </si>
  <si>
    <r>
      <t>4294967287</t>
    </r>
    <r>
      <rPr>
        <sz val="12"/>
        <color theme="1"/>
        <rFont val="Aptos Narrow"/>
        <family val="2"/>
        <scheme val="minor"/>
      </rPr>
      <t xml:space="preserve"> (NOT of AND)</t>
    </r>
  </si>
  <si>
    <t>12 NOR 10 =</t>
  </si>
  <si>
    <r>
      <t>4294967281</t>
    </r>
    <r>
      <rPr>
        <sz val="12"/>
        <color theme="1"/>
        <rFont val="Aptos Narrow"/>
        <family val="2"/>
        <scheme val="minor"/>
      </rPr>
      <t xml:space="preserve"> (NOT of OR)</t>
    </r>
  </si>
  <si>
    <t>12 XNOR 10 =</t>
  </si>
  <si>
    <r>
      <t>4294967289</t>
    </r>
    <r>
      <rPr>
        <sz val="12"/>
        <color theme="1"/>
        <rFont val="Aptos Narrow"/>
        <family val="2"/>
        <scheme val="minor"/>
      </rPr>
      <t xml:space="preserve"> (NOT of XOR)</t>
    </r>
  </si>
  <si>
    <r>
      <t>2</t>
    </r>
    <r>
      <rPr>
        <sz val="12"/>
        <color theme="1"/>
        <rFont val="Aptos Narrow"/>
        <family val="2"/>
        <scheme val="minor"/>
      </rPr>
      <t xml:space="preserve"> (shift left = ×2)</t>
    </r>
  </si>
  <si>
    <r>
      <t>0</t>
    </r>
    <r>
      <rPr>
        <sz val="12"/>
        <color theme="1"/>
        <rFont val="Aptos Narrow"/>
        <family val="2"/>
        <scheme val="minor"/>
      </rPr>
      <t xml:space="preserve"> (overflow wraps in 32-bit)</t>
    </r>
  </si>
  <si>
    <r>
      <t>1</t>
    </r>
    <r>
      <rPr>
        <sz val="12"/>
        <color theme="1"/>
        <rFont val="Aptos Narrow"/>
        <family val="2"/>
        <scheme val="minor"/>
      </rPr>
      <t xml:space="preserve"> (shift right = ÷2)</t>
    </r>
  </si>
  <si>
    <r>
      <t xml:space="preserve">Type </t>
    </r>
    <r>
      <rPr>
        <sz val="10"/>
        <color theme="1"/>
        <rFont val="Arial Unicode MS"/>
        <family val="2"/>
      </rPr>
      <t>255</t>
    </r>
    <r>
      <rPr>
        <sz val="12"/>
        <color theme="1"/>
        <rFont val="Aptos Narrow"/>
        <family val="2"/>
        <scheme val="minor"/>
      </rPr>
      <t>, press CE</t>
    </r>
  </si>
  <si>
    <r>
      <t xml:space="preserve">Resets to </t>
    </r>
    <r>
      <rPr>
        <sz val="10"/>
        <color theme="1"/>
        <rFont val="Arial Unicode MS"/>
        <family val="2"/>
      </rPr>
      <t>0</t>
    </r>
    <r>
      <rPr>
        <sz val="12"/>
        <color theme="1"/>
        <rFont val="Aptos Narrow"/>
        <family val="2"/>
        <scheme val="minor"/>
      </rPr>
      <t xml:space="preserve">, all representations show </t>
    </r>
    <r>
      <rPr>
        <sz val="10"/>
        <color theme="1"/>
        <rFont val="Arial Unicode MS"/>
        <family val="2"/>
      </rPr>
      <t>0</t>
    </r>
  </si>
  <si>
    <r>
      <t xml:space="preserve">Type </t>
    </r>
    <r>
      <rPr>
        <sz val="10"/>
        <color theme="1"/>
        <rFont val="Arial Unicode MS"/>
        <family val="2"/>
      </rPr>
      <t>255</t>
    </r>
    <r>
      <rPr>
        <sz val="12"/>
        <color theme="1"/>
        <rFont val="Aptos Narrow"/>
        <family val="2"/>
        <scheme val="minor"/>
      </rPr>
      <t xml:space="preserve"> in DEC, press ⌫</t>
    </r>
  </si>
  <si>
    <t>TC-P-041</t>
  </si>
  <si>
    <r>
      <t xml:space="preserve">Type </t>
    </r>
    <r>
      <rPr>
        <sz val="10"/>
        <color theme="1"/>
        <rFont val="Arial Unicode MS"/>
        <family val="2"/>
      </rPr>
      <t>FF</t>
    </r>
    <r>
      <rPr>
        <sz val="12"/>
        <color theme="1"/>
        <rFont val="Aptos Narrow"/>
        <family val="2"/>
        <scheme val="minor"/>
      </rPr>
      <t xml:space="preserve"> in HEX, press ⌫</t>
    </r>
  </si>
  <si>
    <t>TC-P-042</t>
  </si>
  <si>
    <t>17 MOD 0 =</t>
  </si>
  <si>
    <r>
      <t xml:space="preserve">Returns </t>
    </r>
    <r>
      <rPr>
        <sz val="10"/>
        <color theme="1"/>
        <rFont val="Arial Unicode MS"/>
        <family val="2"/>
      </rPr>
      <t>17</t>
    </r>
    <r>
      <rPr>
        <sz val="12"/>
        <color theme="1"/>
        <rFont val="Aptos Narrow"/>
        <family val="2"/>
        <scheme val="minor"/>
      </rPr>
      <t xml:space="preserve"> — verify intentional behavior, flag in report</t>
    </r>
  </si>
  <si>
    <t>Doesn’t have key for G and keyboard works only till F keys</t>
  </si>
  <si>
    <r>
      <t>Error for sin &amp; cos</t>
    </r>
    <r>
      <rPr>
        <sz val="12"/>
        <color theme="1"/>
        <rFont val="Aptos Narrow"/>
        <family val="2"/>
        <scheme val="minor"/>
      </rPr>
      <t>, no crash</t>
    </r>
    <r>
      <rPr>
        <sz val="10"/>
        <color theme="1"/>
        <rFont val="Arial Unicode MS"/>
        <family val="2"/>
      </rPr>
      <t>, calculates tan</t>
    </r>
  </si>
  <si>
    <t xml:space="preserve"> verify RAD gives different result than DEG</t>
  </si>
  <si>
    <t>sin=0.89399666  cos=-0.44807362  tan=-1.9952004 csc 1.1185724 sec=-2.2317751 cot = -0.50120278 sinh &amp; cosh underfined tanh=1</t>
  </si>
  <si>
    <t>csc = 1.0124651 sec= 6.3924532 cot = 0.15838444 sinh =1.9339848 cosh = 2.1772224 tanh = 0.88828079</t>
  </si>
  <si>
    <t>Python Calculator - Bug &amp; Challenge Scenario Report</t>
  </si>
  <si>
    <t>S. No.</t>
  </si>
  <si>
    <t>Mode</t>
  </si>
  <si>
    <t xml:space="preserve">Total Checks </t>
  </si>
  <si>
    <t>❌ Bugs</t>
  </si>
  <si>
    <t>⚠️ Warnings</t>
  </si>
  <si>
    <t>✅ Passed</t>
  </si>
  <si>
    <t>Pass Rate</t>
  </si>
  <si>
    <t>Basic</t>
  </si>
  <si>
    <t>Scientific</t>
  </si>
  <si>
    <t>Finance</t>
  </si>
  <si>
    <t>Trigonometry</t>
  </si>
  <si>
    <t>Programming</t>
  </si>
  <si>
    <t>Eq Solver</t>
  </si>
  <si>
    <t>Converter</t>
  </si>
  <si>
    <t>🟢 Healthy</t>
  </si>
  <si>
    <t>🔴 Critical</t>
  </si>
  <si>
    <t>Legend</t>
  </si>
  <si>
    <t>❌ Bug</t>
  </si>
  <si>
    <t>⚠️ Warning</t>
  </si>
  <si>
    <t>🟠 Moderate</t>
  </si>
  <si>
    <t>🟡 Minor</t>
  </si>
  <si>
    <t>A real defect — wrong result, crash, or missing validation</t>
  </si>
  <si>
    <t>Non-critical issue — UX problem, silent failure, or confusing output</t>
  </si>
  <si>
    <t>Scenario correctly handled with expected output</t>
  </si>
  <si>
    <t>5+ bugs — mode needs immediate attention</t>
  </si>
  <si>
    <t>3–4 bugs</t>
  </si>
  <si>
    <t>1–2 bugs</t>
  </si>
  <si>
    <t>0 bugs</t>
  </si>
  <si>
    <t>Bug Register - All Defects &amp; Warnings</t>
  </si>
  <si>
    <t>S.No.</t>
  </si>
  <si>
    <t>Sub-Section</t>
  </si>
  <si>
    <t>Severity</t>
  </si>
  <si>
    <t>Scenario/Input</t>
  </si>
  <si>
    <t>Observations</t>
  </si>
  <si>
    <t>Open</t>
  </si>
  <si>
    <t>Mode 1 - Basic Calculator</t>
  </si>
  <si>
    <t>Input/Scenario</t>
  </si>
  <si>
    <t>Observed Output</t>
  </si>
  <si>
    <t>Fix</t>
  </si>
  <si>
    <t>Priority Tracker</t>
  </si>
  <si>
    <t>Priority</t>
  </si>
  <si>
    <t>Description</t>
  </si>
  <si>
    <t>Effort</t>
  </si>
  <si>
    <t>Resolution Status</t>
  </si>
  <si>
    <t>🔴 P1 — Critical</t>
  </si>
  <si>
    <t>🟠 P2 — Moderate</t>
  </si>
  <si>
    <t>🟡 P3 — Minor</t>
  </si>
  <si>
    <t>🟢 P4 — Nice-to-have</t>
  </si>
  <si>
    <t>Press = on empty display</t>
  </si>
  <si>
    <t>Press = repeatedly after result</t>
  </si>
  <si>
    <t>Press ⌫ on empty display</t>
  </si>
  <si>
    <t>Press AC immediately on launch</t>
  </si>
  <si>
    <t>Press AC mid-expression</t>
  </si>
  <si>
    <t>Press AC after =</t>
  </si>
  <si>
    <t>Enter . only, press =</t>
  </si>
  <si>
    <t>Enter 5..3 (double decimal)</t>
  </si>
  <si>
    <t>Enter 5 + with no second operand, press =</t>
  </si>
  <si>
    <t>Start expression with ÷ 5</t>
  </si>
  <si>
    <t>Type 123, press ⌫ once</t>
  </si>
  <si>
    <t>Type 5, press ⌫</t>
  </si>
  <si>
    <t>Press ⌫ on a result after =</t>
  </si>
  <si>
    <t>Press Enter key on keyboard</t>
  </si>
  <si>
    <t>Press Escape key on keyboard</t>
  </si>
  <si>
    <t>14 (Applies BODMAS)</t>
  </si>
  <si>
    <r>
      <t>0.3</t>
    </r>
    <r>
      <rPr>
        <sz val="12"/>
        <color theme="1"/>
        <rFont val="Calibri"/>
        <family val="2"/>
      </rPr>
      <t xml:space="preserve"> (not </t>
    </r>
    <r>
      <rPr>
        <sz val="10"/>
        <color theme="1"/>
        <rFont val="Calibri"/>
        <family val="2"/>
      </rPr>
      <t>0.30000000000000004</t>
    </r>
    <r>
      <rPr>
        <sz val="12"/>
        <color theme="1"/>
        <rFont val="Calibri"/>
        <family val="2"/>
      </rPr>
      <t>)</t>
    </r>
  </si>
  <si>
    <r>
      <t>0.333333333333</t>
    </r>
    <r>
      <rPr>
        <sz val="12"/>
        <color theme="1"/>
        <rFont val="Calibri"/>
        <family val="2"/>
      </rPr>
      <t xml:space="preserve"> (12 decimal places max)</t>
    </r>
  </si>
  <si>
    <r>
      <t>Math Error</t>
    </r>
    <r>
      <rPr>
        <sz val="12"/>
        <color theme="1"/>
        <rFont val="Calibri"/>
        <family val="2"/>
      </rPr>
      <t xml:space="preserve"> (exceeds 1e15)</t>
    </r>
  </si>
  <si>
    <r>
      <t>0</t>
    </r>
    <r>
      <rPr>
        <sz val="12"/>
        <color theme="1"/>
        <rFont val="Calibri"/>
        <family val="2"/>
      </rPr>
      <t xml:space="preserve"> or no crash</t>
    </r>
  </si>
  <si>
    <r>
      <t xml:space="preserve">No crash, stays </t>
    </r>
    <r>
      <rPr>
        <sz val="10"/>
        <color theme="1"/>
        <rFont val="Calibri"/>
        <family val="2"/>
      </rPr>
      <t>0</t>
    </r>
  </si>
  <si>
    <r>
      <t>0</t>
    </r>
    <r>
      <rPr>
        <sz val="12"/>
        <color theme="1"/>
        <rFont val="Calibri"/>
        <family val="2"/>
      </rPr>
      <t>, no crash</t>
    </r>
  </si>
  <si>
    <r>
      <t xml:space="preserve">Clears fully to </t>
    </r>
    <r>
      <rPr>
        <sz val="10"/>
        <color theme="1"/>
        <rFont val="Calibri"/>
        <family val="2"/>
      </rPr>
      <t>0</t>
    </r>
  </si>
  <si>
    <r>
      <t>5</t>
    </r>
    <r>
      <rPr>
        <sz val="12"/>
        <color theme="1"/>
        <rFont val="Calibri"/>
        <family val="2"/>
      </rPr>
      <t xml:space="preserve"> (double toggle restores)</t>
    </r>
  </si>
  <si>
    <r>
      <t>0</t>
    </r>
    <r>
      <rPr>
        <sz val="12"/>
        <color theme="1"/>
        <rFont val="Calibri"/>
        <family val="2"/>
      </rPr>
      <t xml:space="preserve"> or </t>
    </r>
    <r>
      <rPr>
        <sz val="10"/>
        <color theme="1"/>
        <rFont val="Calibri"/>
        <family val="2"/>
      </rPr>
      <t>-0</t>
    </r>
    <r>
      <rPr>
        <sz val="12"/>
        <color theme="1"/>
        <rFont val="Calibri"/>
        <family val="2"/>
      </rPr>
      <t>, no crash</t>
    </r>
  </si>
  <si>
    <r>
      <t>0</t>
    </r>
    <r>
      <rPr>
        <sz val="12"/>
        <color theme="1"/>
        <rFont val="Calibri"/>
        <family val="2"/>
      </rPr>
      <t xml:space="preserve"> or </t>
    </r>
    <r>
      <rPr>
        <sz val="10"/>
        <color theme="1"/>
        <rFont val="Calibri"/>
        <family val="2"/>
      </rPr>
      <t>Error</t>
    </r>
    <r>
      <rPr>
        <sz val="12"/>
        <color theme="1"/>
        <rFont val="Calibri"/>
        <family val="2"/>
      </rPr>
      <t>, no crash</t>
    </r>
  </si>
  <si>
    <r>
      <t xml:space="preserve">Second </t>
    </r>
    <r>
      <rPr>
        <sz val="10"/>
        <color theme="1"/>
        <rFont val="Calibri"/>
        <family val="2"/>
      </rPr>
      <t>.</t>
    </r>
    <r>
      <rPr>
        <sz val="12"/>
        <color theme="1"/>
        <rFont val="Calibri"/>
        <family val="2"/>
      </rPr>
      <t xml:space="preserve"> ignored, shows </t>
    </r>
    <r>
      <rPr>
        <sz val="10"/>
        <color theme="1"/>
        <rFont val="Calibri"/>
        <family val="2"/>
      </rPr>
      <t>5.3</t>
    </r>
  </si>
  <si>
    <r>
      <t>Error</t>
    </r>
    <r>
      <rPr>
        <sz val="12"/>
        <color theme="1"/>
        <rFont val="Calibri"/>
        <family val="2"/>
      </rPr>
      <t xml:space="preserve"> or last valid result, no crash</t>
    </r>
  </si>
  <si>
    <r>
      <t>Error</t>
    </r>
    <r>
      <rPr>
        <sz val="12"/>
        <color theme="1"/>
        <rFont val="Calibri"/>
        <family val="2"/>
      </rPr>
      <t xml:space="preserve"> or ignored, no crash</t>
    </r>
  </si>
  <si>
    <r>
      <t>4</t>
    </r>
    <r>
      <rPr>
        <sz val="12"/>
        <color theme="1"/>
        <rFont val="Calibri"/>
        <family val="2"/>
      </rPr>
      <t xml:space="preserve"> (not </t>
    </r>
    <r>
      <rPr>
        <sz val="10"/>
        <color theme="1"/>
        <rFont val="Calibri"/>
        <family val="2"/>
      </rPr>
      <t>4.0</t>
    </r>
    <r>
      <rPr>
        <sz val="12"/>
        <color theme="1"/>
        <rFont val="Calibri"/>
        <family val="2"/>
      </rPr>
      <t>)</t>
    </r>
  </si>
  <si>
    <r>
      <t>0</t>
    </r>
    <r>
      <rPr>
        <sz val="12"/>
        <color theme="1"/>
        <rFont val="Calibri"/>
        <family val="2"/>
      </rPr>
      <t xml:space="preserve"> or empty, no crash</t>
    </r>
  </si>
  <si>
    <r>
      <t>8</t>
    </r>
    <r>
      <rPr>
        <sz val="12"/>
        <color theme="1"/>
        <rFont val="Calibri"/>
        <family val="2"/>
      </rPr>
      <t xml:space="preserve"> (result carries forward)</t>
    </r>
  </si>
  <si>
    <r>
      <t xml:space="preserve">Same as pressing </t>
    </r>
    <r>
      <rPr>
        <sz val="10"/>
        <color theme="1"/>
        <rFont val="Calibri"/>
        <family val="2"/>
      </rPr>
      <t>=</t>
    </r>
  </si>
  <si>
    <t>Shows error</t>
  </si>
  <si>
    <t>Issue</t>
  </si>
  <si>
    <t>Second . considered shows Error</t>
  </si>
  <si>
    <r>
      <t>((2 + 3)</t>
    </r>
    <r>
      <rPr>
        <sz val="12"/>
        <color theme="1"/>
        <rFont val="Calibri"/>
        <family val="2"/>
      </rPr>
      <t xml:space="preserve"> — unclosed bracket, press </t>
    </r>
    <r>
      <rPr>
        <sz val="10"/>
        <color theme="1"/>
        <rFont val="Calibri"/>
        <family val="2"/>
      </rPr>
      <t>=</t>
    </r>
  </si>
  <si>
    <r>
      <t xml:space="preserve">Store </t>
    </r>
    <r>
      <rPr>
        <sz val="10"/>
        <color theme="1"/>
        <rFont val="Calibri"/>
        <family val="2"/>
      </rPr>
      <t>5</t>
    </r>
    <r>
      <rPr>
        <sz val="12"/>
        <color theme="1"/>
        <rFont val="Calibri"/>
        <family val="2"/>
      </rPr>
      <t xml:space="preserve"> via </t>
    </r>
    <r>
      <rPr>
        <sz val="10"/>
        <color theme="1"/>
        <rFont val="Calibri"/>
        <family val="2"/>
      </rPr>
      <t>m+</t>
    </r>
    <r>
      <rPr>
        <sz val="12"/>
        <color theme="1"/>
        <rFont val="Calibri"/>
        <family val="2"/>
      </rPr>
      <t xml:space="preserve">, press </t>
    </r>
    <r>
      <rPr>
        <sz val="10"/>
        <color theme="1"/>
        <rFont val="Calibri"/>
        <family val="2"/>
      </rPr>
      <t>mc</t>
    </r>
    <r>
      <rPr>
        <sz val="12"/>
        <color theme="1"/>
        <rFont val="Calibri"/>
        <family val="2"/>
      </rPr>
      <t xml:space="preserve">, then </t>
    </r>
    <r>
      <rPr>
        <sz val="10"/>
        <color theme="1"/>
        <rFont val="Calibri"/>
        <family val="2"/>
      </rPr>
      <t>mr</t>
    </r>
  </si>
  <si>
    <r>
      <t>5</t>
    </r>
    <r>
      <rPr>
        <sz val="12"/>
        <color theme="1"/>
        <rFont val="Calibri"/>
        <family val="2"/>
      </rPr>
      <t xml:space="preserve"> → </t>
    </r>
    <r>
      <rPr>
        <sz val="10"/>
        <color theme="1"/>
        <rFont val="Calibri"/>
        <family val="2"/>
      </rPr>
      <t>m+</t>
    </r>
    <r>
      <rPr>
        <sz val="12"/>
        <color theme="1"/>
        <rFont val="Calibri"/>
        <family val="2"/>
      </rPr>
      <t xml:space="preserve">, </t>
    </r>
    <r>
      <rPr>
        <sz val="10"/>
        <color theme="1"/>
        <rFont val="Calibri"/>
        <family val="2"/>
      </rPr>
      <t>3</t>
    </r>
    <r>
      <rPr>
        <sz val="12"/>
        <color theme="1"/>
        <rFont val="Calibri"/>
        <family val="2"/>
      </rPr>
      <t xml:space="preserve"> → </t>
    </r>
    <r>
      <rPr>
        <sz val="10"/>
        <color theme="1"/>
        <rFont val="Calibri"/>
        <family val="2"/>
      </rPr>
      <t>m+</t>
    </r>
    <r>
      <rPr>
        <sz val="12"/>
        <color theme="1"/>
        <rFont val="Calibri"/>
        <family val="2"/>
      </rPr>
      <t xml:space="preserve">, </t>
    </r>
    <r>
      <rPr>
        <sz val="10"/>
        <color theme="1"/>
        <rFont val="Calibri"/>
        <family val="2"/>
      </rPr>
      <t>mr</t>
    </r>
  </si>
  <si>
    <r>
      <t>10</t>
    </r>
    <r>
      <rPr>
        <sz val="12"/>
        <color theme="1"/>
        <rFont val="Calibri"/>
        <family val="2"/>
      </rPr>
      <t xml:space="preserve"> → </t>
    </r>
    <r>
      <rPr>
        <sz val="10"/>
        <color theme="1"/>
        <rFont val="Calibri"/>
        <family val="2"/>
      </rPr>
      <t>m+</t>
    </r>
    <r>
      <rPr>
        <sz val="12"/>
        <color theme="1"/>
        <rFont val="Calibri"/>
        <family val="2"/>
      </rPr>
      <t xml:space="preserve">, </t>
    </r>
    <r>
      <rPr>
        <sz val="10"/>
        <color theme="1"/>
        <rFont val="Calibri"/>
        <family val="2"/>
      </rPr>
      <t>3</t>
    </r>
    <r>
      <rPr>
        <sz val="12"/>
        <color theme="1"/>
        <rFont val="Calibri"/>
        <family val="2"/>
      </rPr>
      <t xml:space="preserve"> → </t>
    </r>
    <r>
      <rPr>
        <sz val="10"/>
        <color theme="1"/>
        <rFont val="Calibri"/>
        <family val="2"/>
      </rPr>
      <t>m−</t>
    </r>
    <r>
      <rPr>
        <sz val="12"/>
        <color theme="1"/>
        <rFont val="Calibri"/>
        <family val="2"/>
      </rPr>
      <t xml:space="preserve">, </t>
    </r>
    <r>
      <rPr>
        <sz val="10"/>
        <color theme="1"/>
        <rFont val="Calibri"/>
        <family val="2"/>
      </rPr>
      <t>mr</t>
    </r>
  </si>
  <si>
    <r>
      <t xml:space="preserve">Press </t>
    </r>
    <r>
      <rPr>
        <sz val="10"/>
        <color theme="1"/>
        <rFont val="Calibri"/>
        <family val="2"/>
      </rPr>
      <t>mr</t>
    </r>
    <r>
      <rPr>
        <sz val="12"/>
        <color theme="1"/>
        <rFont val="Calibri"/>
        <family val="2"/>
      </rPr>
      <t xml:space="preserve"> without storing anything</t>
    </r>
  </si>
  <si>
    <r>
      <t>5</t>
    </r>
    <r>
      <rPr>
        <sz val="12"/>
        <color theme="1"/>
        <rFont val="Calibri"/>
        <family val="2"/>
      </rPr>
      <t xml:space="preserve"> → </t>
    </r>
    <r>
      <rPr>
        <sz val="10"/>
        <color theme="1"/>
        <rFont val="Calibri"/>
        <family val="2"/>
      </rPr>
      <t>x²</t>
    </r>
  </si>
  <si>
    <r>
      <t>-3</t>
    </r>
    <r>
      <rPr>
        <sz val="12"/>
        <color theme="1"/>
        <rFont val="Calibri"/>
        <family val="2"/>
      </rPr>
      <t xml:space="preserve"> → </t>
    </r>
    <r>
      <rPr>
        <sz val="10"/>
        <color theme="1"/>
        <rFont val="Calibri"/>
        <family val="2"/>
      </rPr>
      <t>x²</t>
    </r>
  </si>
  <si>
    <r>
      <t>-2</t>
    </r>
    <r>
      <rPr>
        <sz val="12"/>
        <color theme="1"/>
        <rFont val="Calibri"/>
        <family val="2"/>
      </rPr>
      <t xml:space="preserve"> → </t>
    </r>
    <r>
      <rPr>
        <sz val="10"/>
        <color theme="1"/>
        <rFont val="Calibri"/>
        <family val="2"/>
      </rPr>
      <t>x³</t>
    </r>
  </si>
  <si>
    <r>
      <t>4</t>
    </r>
    <r>
      <rPr>
        <sz val="12"/>
        <color theme="1"/>
        <rFont val="Calibri"/>
        <family val="2"/>
      </rPr>
      <t xml:space="preserve"> → </t>
    </r>
    <r>
      <rPr>
        <sz val="10"/>
        <color theme="1"/>
        <rFont val="Calibri"/>
        <family val="2"/>
      </rPr>
      <t>1/x</t>
    </r>
  </si>
  <si>
    <r>
      <t>0</t>
    </r>
    <r>
      <rPr>
        <sz val="12"/>
        <color theme="1"/>
        <rFont val="Calibri"/>
        <family val="2"/>
      </rPr>
      <t xml:space="preserve"> → </t>
    </r>
    <r>
      <rPr>
        <sz val="10"/>
        <color theme="1"/>
        <rFont val="Calibri"/>
        <family val="2"/>
      </rPr>
      <t>1/x</t>
    </r>
  </si>
  <si>
    <r>
      <t xml:space="preserve">Press </t>
    </r>
    <r>
      <rPr>
        <sz val="10"/>
        <color theme="1"/>
        <rFont val="Calibri"/>
        <family val="2"/>
      </rPr>
      <t>2nd</t>
    </r>
    <r>
      <rPr>
        <sz val="12"/>
        <color theme="1"/>
        <rFont val="Calibri"/>
        <family val="2"/>
      </rPr>
      <t xml:space="preserve">, check </t>
    </r>
    <r>
      <rPr>
        <sz val="10"/>
        <color theme="1"/>
        <rFont val="Calibri"/>
        <family val="2"/>
      </rPr>
      <t>sin</t>
    </r>
    <r>
      <rPr>
        <sz val="12"/>
        <color theme="1"/>
        <rFont val="Calibri"/>
        <family val="2"/>
      </rPr>
      <t xml:space="preserve"> label</t>
    </r>
  </si>
  <si>
    <r>
      <t xml:space="preserve">Press </t>
    </r>
    <r>
      <rPr>
        <sz val="10"/>
        <color theme="1"/>
        <rFont val="Calibri"/>
        <family val="2"/>
      </rPr>
      <t>2nd</t>
    </r>
    <r>
      <rPr>
        <sz val="12"/>
        <color theme="1"/>
        <rFont val="Calibri"/>
        <family val="2"/>
      </rPr>
      <t xml:space="preserve"> twice, check </t>
    </r>
    <r>
      <rPr>
        <sz val="10"/>
        <color theme="1"/>
        <rFont val="Calibri"/>
        <family val="2"/>
      </rPr>
      <t>sin</t>
    </r>
    <r>
      <rPr>
        <sz val="12"/>
        <color theme="1"/>
        <rFont val="Calibri"/>
        <family val="2"/>
      </rPr>
      <t xml:space="preserve"> label</t>
    </r>
  </si>
  <si>
    <r>
      <t>asin(1)</t>
    </r>
    <r>
      <rPr>
        <sz val="12"/>
        <color theme="1"/>
        <rFont val="Calibri"/>
        <family val="2"/>
      </rPr>
      <t xml:space="preserve"> in DEG and </t>
    </r>
    <r>
      <rPr>
        <sz val="10"/>
        <color theme="1"/>
        <rFont val="Calibri"/>
        <family val="2"/>
      </rPr>
      <t>asin(1)</t>
    </r>
    <r>
      <rPr>
        <sz val="12"/>
        <color theme="1"/>
        <rFont val="Calibri"/>
        <family val="2"/>
      </rPr>
      <t xml:space="preserve"> in RAD</t>
    </r>
  </si>
  <si>
    <r>
      <t>acos(1)</t>
    </r>
    <r>
      <rPr>
        <sz val="12"/>
        <color theme="1"/>
        <rFont val="Calibri"/>
        <family val="2"/>
      </rPr>
      <t xml:space="preserve"> in DEG and </t>
    </r>
    <r>
      <rPr>
        <sz val="10"/>
        <color theme="1"/>
        <rFont val="Calibri"/>
        <family val="2"/>
      </rPr>
      <t>acos(1)</t>
    </r>
    <r>
      <rPr>
        <sz val="12"/>
        <color theme="1"/>
        <rFont val="Calibri"/>
        <family val="2"/>
      </rPr>
      <t xml:space="preserve"> in RAD</t>
    </r>
  </si>
  <si>
    <r>
      <t>atan(1)</t>
    </r>
    <r>
      <rPr>
        <sz val="12"/>
        <color theme="1"/>
        <rFont val="Calibri"/>
        <family val="2"/>
      </rPr>
      <t xml:space="preserve"> in DEG and </t>
    </r>
    <r>
      <rPr>
        <sz val="10"/>
        <color theme="1"/>
        <rFont val="Calibri"/>
        <family val="2"/>
      </rPr>
      <t>atan(1)</t>
    </r>
    <r>
      <rPr>
        <sz val="12"/>
        <color theme="1"/>
        <rFont val="Calibri"/>
        <family val="2"/>
      </rPr>
      <t xml:space="preserve"> in RAD</t>
    </r>
  </si>
  <si>
    <r>
      <t>sin(90)</t>
    </r>
    <r>
      <rPr>
        <sz val="12"/>
        <color theme="1"/>
        <rFont val="Calibri"/>
        <family val="2"/>
      </rPr>
      <t xml:space="preserve"> in DEG and </t>
    </r>
    <r>
      <rPr>
        <sz val="10"/>
        <color theme="1"/>
        <rFont val="Calibri"/>
        <family val="2"/>
      </rPr>
      <t>sin(π/2)</t>
    </r>
    <r>
      <rPr>
        <sz val="12"/>
        <color theme="1"/>
        <rFont val="Calibri"/>
        <family val="2"/>
      </rPr>
      <t xml:space="preserve"> in RAD</t>
    </r>
  </si>
  <si>
    <r>
      <t>cos(180)</t>
    </r>
    <r>
      <rPr>
        <sz val="12"/>
        <color theme="1"/>
        <rFont val="Calibri"/>
        <family val="2"/>
      </rPr>
      <t xml:space="preserve"> in DEG and </t>
    </r>
    <r>
      <rPr>
        <sz val="10"/>
        <color theme="1"/>
        <rFont val="Calibri"/>
        <family val="2"/>
      </rPr>
      <t>cos(π)</t>
    </r>
    <r>
      <rPr>
        <sz val="12"/>
        <color theme="1"/>
        <rFont val="Calibri"/>
        <family val="2"/>
      </rPr>
      <t xml:space="preserve"> in RAD</t>
    </r>
  </si>
  <si>
    <r>
      <t>tan(90)</t>
    </r>
    <r>
      <rPr>
        <sz val="12"/>
        <color theme="1"/>
        <rFont val="Calibri"/>
        <family val="2"/>
      </rPr>
      <t xml:space="preserve"> in DEG and </t>
    </r>
    <r>
      <rPr>
        <sz val="10"/>
        <color theme="1"/>
        <rFont val="Calibri"/>
        <family val="2"/>
      </rPr>
      <t>tan(π/2)</t>
    </r>
    <r>
      <rPr>
        <sz val="12"/>
        <color theme="1"/>
        <rFont val="Calibri"/>
        <family val="2"/>
      </rPr>
      <t xml:space="preserve"> in RAD</t>
    </r>
  </si>
  <si>
    <r>
      <t>acosh(0)</t>
    </r>
    <r>
      <rPr>
        <sz val="12"/>
        <color theme="1"/>
        <rFont val="Calibri"/>
        <family val="2"/>
      </rPr>
      <t xml:space="preserve"> in DEG and </t>
    </r>
    <r>
      <rPr>
        <sz val="10"/>
        <color theme="1"/>
        <rFont val="Calibri"/>
        <family val="2"/>
      </rPr>
      <t>acosh(0)</t>
    </r>
    <r>
      <rPr>
        <sz val="12"/>
        <color theme="1"/>
        <rFont val="Calibri"/>
        <family val="2"/>
      </rPr>
      <t xml:space="preserve"> in RAD</t>
    </r>
  </si>
  <si>
    <r>
      <t>atanh(1)</t>
    </r>
    <r>
      <rPr>
        <sz val="12"/>
        <color theme="1"/>
        <rFont val="Calibri"/>
        <family val="2"/>
      </rPr>
      <t xml:space="preserve"> in DEG and </t>
    </r>
    <r>
      <rPr>
        <sz val="10"/>
        <color theme="1"/>
        <rFont val="Calibri"/>
        <family val="2"/>
      </rPr>
      <t>atanh(1)</t>
    </r>
    <r>
      <rPr>
        <sz val="12"/>
        <color theme="1"/>
        <rFont val="Calibri"/>
        <family val="2"/>
      </rPr>
      <t xml:space="preserve"> in RAD</t>
    </r>
  </si>
  <si>
    <r>
      <t>asin(2)</t>
    </r>
    <r>
      <rPr>
        <sz val="12"/>
        <color theme="1"/>
        <rFont val="Calibri"/>
        <family val="2"/>
      </rPr>
      <t xml:space="preserve"> in DEG and </t>
    </r>
    <r>
      <rPr>
        <sz val="10"/>
        <color theme="1"/>
        <rFont val="Calibri"/>
        <family val="2"/>
      </rPr>
      <t>asin(2)</t>
    </r>
    <r>
      <rPr>
        <sz val="12"/>
        <color theme="1"/>
        <rFont val="Calibri"/>
        <family val="2"/>
      </rPr>
      <t xml:space="preserve"> in RAD</t>
    </r>
  </si>
  <si>
    <r>
      <t>acos(2)</t>
    </r>
    <r>
      <rPr>
        <sz val="12"/>
        <color theme="1"/>
        <rFont val="Calibri"/>
        <family val="2"/>
      </rPr>
      <t xml:space="preserve"> in DEG and </t>
    </r>
    <r>
      <rPr>
        <sz val="10"/>
        <color theme="1"/>
        <rFont val="Calibri"/>
        <family val="2"/>
      </rPr>
      <t>acos(2)</t>
    </r>
    <r>
      <rPr>
        <sz val="12"/>
        <color theme="1"/>
        <rFont val="Calibri"/>
        <family val="2"/>
      </rPr>
      <t xml:space="preserve"> in RAD</t>
    </r>
  </si>
  <si>
    <r>
      <t xml:space="preserve">Press </t>
    </r>
    <r>
      <rPr>
        <sz val="10"/>
        <color theme="1"/>
        <rFont val="Calibri"/>
        <family val="2"/>
      </rPr>
      <t>Rand</t>
    </r>
    <r>
      <rPr>
        <sz val="12"/>
        <color theme="1"/>
        <rFont val="Calibri"/>
        <family val="2"/>
      </rPr>
      <t>, evaluate</t>
    </r>
  </si>
  <si>
    <r>
      <t xml:space="preserve">Single value </t>
    </r>
    <r>
      <rPr>
        <sz val="10"/>
        <color theme="1"/>
        <rFont val="Calibri"/>
        <family val="2"/>
      </rPr>
      <t>5</t>
    </r>
  </si>
  <si>
    <r>
      <t xml:space="preserve">Two identical values </t>
    </r>
    <r>
      <rPr>
        <sz val="10"/>
        <color theme="1"/>
        <rFont val="Calibri"/>
        <family val="2"/>
      </rPr>
      <t>5, 5</t>
    </r>
  </si>
  <si>
    <r>
      <t>Mode=</t>
    </r>
    <r>
      <rPr>
        <sz val="10"/>
        <color theme="1"/>
        <rFont val="Calibri"/>
        <family val="2"/>
      </rPr>
      <t>5 (×2)</t>
    </r>
    <r>
      <rPr>
        <sz val="12"/>
        <color theme="1"/>
        <rFont val="Calibri"/>
        <family val="2"/>
      </rPr>
      <t>, Std Dev=</t>
    </r>
    <r>
      <rPr>
        <sz val="10"/>
        <color theme="1"/>
        <rFont val="Calibri"/>
        <family val="2"/>
      </rPr>
      <t>0</t>
    </r>
  </si>
  <si>
    <r>
      <t>Mean=</t>
    </r>
    <r>
      <rPr>
        <sz val="10"/>
        <color theme="1"/>
        <rFont val="Calibri"/>
        <family val="2"/>
      </rPr>
      <t>3</t>
    </r>
    <r>
      <rPr>
        <sz val="12"/>
        <color theme="1"/>
        <rFont val="Calibri"/>
        <family val="2"/>
      </rPr>
      <t>, Median=</t>
    </r>
    <r>
      <rPr>
        <sz val="10"/>
        <color theme="1"/>
        <rFont val="Calibri"/>
        <family val="2"/>
      </rPr>
      <t>3</t>
    </r>
    <r>
      <rPr>
        <sz val="12"/>
        <color theme="1"/>
        <rFont val="Calibri"/>
        <family val="2"/>
      </rPr>
      <t>, Range=</t>
    </r>
    <r>
      <rPr>
        <sz val="10"/>
        <color theme="1"/>
        <rFont val="Calibri"/>
        <family val="2"/>
      </rPr>
      <t>4</t>
    </r>
    <r>
      <rPr>
        <sz val="12"/>
        <color theme="1"/>
        <rFont val="Calibri"/>
        <family val="2"/>
      </rPr>
      <t>, Std Dev=</t>
    </r>
    <r>
      <rPr>
        <sz val="10"/>
        <color theme="1"/>
        <rFont val="Calibri"/>
        <family val="2"/>
      </rPr>
      <t>1.41421</t>
    </r>
  </si>
  <si>
    <r>
      <t xml:space="preserve">Even count </t>
    </r>
    <r>
      <rPr>
        <sz val="10"/>
        <color theme="1"/>
        <rFont val="Calibri"/>
        <family val="2"/>
      </rPr>
      <t>1, 2, 3, 4</t>
    </r>
  </si>
  <si>
    <r>
      <t>Median=</t>
    </r>
    <r>
      <rPr>
        <sz val="10"/>
        <color theme="1"/>
        <rFont val="Calibri"/>
        <family val="2"/>
      </rPr>
      <t>2.5</t>
    </r>
    <r>
      <rPr>
        <sz val="12"/>
        <color theme="1"/>
        <rFont val="Calibri"/>
        <family val="2"/>
      </rPr>
      <t xml:space="preserve"> (average of middle two)</t>
    </r>
  </si>
  <si>
    <r>
      <t xml:space="preserve">All same values </t>
    </r>
    <r>
      <rPr>
        <sz val="10"/>
        <color theme="1"/>
        <rFont val="Calibri"/>
        <family val="2"/>
      </rPr>
      <t>7, 7, 7, 7</t>
    </r>
  </si>
  <si>
    <r>
      <t>Std Dev=</t>
    </r>
    <r>
      <rPr>
        <sz val="10"/>
        <color theme="1"/>
        <rFont val="Calibri"/>
        <family val="2"/>
      </rPr>
      <t>0</t>
    </r>
    <r>
      <rPr>
        <sz val="12"/>
        <color theme="1"/>
        <rFont val="Calibri"/>
        <family val="2"/>
      </rPr>
      <t>, Variance=</t>
    </r>
    <r>
      <rPr>
        <sz val="10"/>
        <color theme="1"/>
        <rFont val="Calibri"/>
        <family val="2"/>
      </rPr>
      <t>0</t>
    </r>
    <r>
      <rPr>
        <sz val="12"/>
        <color theme="1"/>
        <rFont val="Calibri"/>
        <family val="2"/>
      </rPr>
      <t>, Mode=</t>
    </r>
    <r>
      <rPr>
        <sz val="10"/>
        <color theme="1"/>
        <rFont val="Calibri"/>
        <family val="2"/>
      </rPr>
      <t>7 (×4)</t>
    </r>
  </si>
  <si>
    <r>
      <t xml:space="preserve">Negative numbers </t>
    </r>
    <r>
      <rPr>
        <sz val="10"/>
        <color theme="1"/>
        <rFont val="Calibri"/>
        <family val="2"/>
      </rPr>
      <t>-3, -1, -5</t>
    </r>
  </si>
  <si>
    <r>
      <t>Mean=</t>
    </r>
    <r>
      <rPr>
        <sz val="10"/>
        <color theme="1"/>
        <rFont val="Calibri"/>
        <family val="2"/>
      </rPr>
      <t>-3</t>
    </r>
    <r>
      <rPr>
        <sz val="12"/>
        <color theme="1"/>
        <rFont val="Calibri"/>
        <family val="2"/>
      </rPr>
      <t>, no crash, correct Std Dev</t>
    </r>
  </si>
  <si>
    <r>
      <t xml:space="preserve">Mix of negative and positive     </t>
    </r>
    <r>
      <rPr>
        <sz val="10"/>
        <color theme="1"/>
        <rFont val="Calibri"/>
        <family val="2"/>
      </rPr>
      <t>-5, 0, 5</t>
    </r>
  </si>
  <si>
    <r>
      <t>Mean=</t>
    </r>
    <r>
      <rPr>
        <sz val="10"/>
        <color theme="1"/>
        <rFont val="Calibri"/>
        <family val="2"/>
      </rPr>
      <t>0</t>
    </r>
    <r>
      <rPr>
        <sz val="12"/>
        <color theme="1"/>
        <rFont val="Calibri"/>
        <family val="2"/>
      </rPr>
      <t>, Range=</t>
    </r>
    <r>
      <rPr>
        <sz val="10"/>
        <color theme="1"/>
        <rFont val="Calibri"/>
        <family val="2"/>
      </rPr>
      <t>10</t>
    </r>
    <r>
      <rPr>
        <sz val="12"/>
        <color theme="1"/>
        <rFont val="Calibri"/>
        <family val="2"/>
      </rPr>
      <t>, Geo Mean=</t>
    </r>
    <r>
      <rPr>
        <sz val="10"/>
        <color theme="1"/>
        <rFont val="Calibri"/>
        <family val="2"/>
      </rPr>
      <t>N/A</t>
    </r>
    <r>
      <rPr>
        <sz val="12"/>
        <color theme="1"/>
        <rFont val="Calibri"/>
        <family val="2"/>
      </rPr>
      <t xml:space="preserve"> (negative present)</t>
    </r>
  </si>
  <si>
    <r>
      <t xml:space="preserve">Single zero </t>
    </r>
    <r>
      <rPr>
        <sz val="10"/>
        <color theme="1"/>
        <rFont val="Calibri"/>
        <family val="2"/>
      </rPr>
      <t>0</t>
    </r>
  </si>
  <si>
    <r>
      <t>Mean=</t>
    </r>
    <r>
      <rPr>
        <sz val="10"/>
        <color theme="1"/>
        <rFont val="Calibri"/>
        <family val="2"/>
      </rPr>
      <t>0</t>
    </r>
    <r>
      <rPr>
        <sz val="12"/>
        <color theme="1"/>
        <rFont val="Calibri"/>
        <family val="2"/>
      </rPr>
      <t>, Std Dev=</t>
    </r>
    <r>
      <rPr>
        <sz val="10"/>
        <color theme="1"/>
        <rFont val="Calibri"/>
        <family val="2"/>
      </rPr>
      <t>0</t>
    </r>
    <r>
      <rPr>
        <sz val="12"/>
        <color theme="1"/>
        <rFont val="Calibri"/>
        <family val="2"/>
      </rPr>
      <t>, no division by zero crash</t>
    </r>
  </si>
  <si>
    <r>
      <t xml:space="preserve">All zeros </t>
    </r>
    <r>
      <rPr>
        <sz val="10"/>
        <color theme="1"/>
        <rFont val="Calibri"/>
        <family val="2"/>
      </rPr>
      <t>0, 0, 0</t>
    </r>
  </si>
  <si>
    <r>
      <t>Mean=</t>
    </r>
    <r>
      <rPr>
        <sz val="10"/>
        <color theme="1"/>
        <rFont val="Calibri"/>
        <family val="2"/>
      </rPr>
      <t>0</t>
    </r>
    <r>
      <rPr>
        <sz val="12"/>
        <color theme="1"/>
        <rFont val="Calibri"/>
        <family val="2"/>
      </rPr>
      <t>, Std Dev=</t>
    </r>
    <r>
      <rPr>
        <sz val="10"/>
        <color theme="1"/>
        <rFont val="Calibri"/>
        <family val="2"/>
      </rPr>
      <t>0</t>
    </r>
    <r>
      <rPr>
        <sz val="12"/>
        <color theme="1"/>
        <rFont val="Calibri"/>
        <family val="2"/>
      </rPr>
      <t>, Mode=</t>
    </r>
    <r>
      <rPr>
        <sz val="10"/>
        <color theme="1"/>
        <rFont val="Calibri"/>
        <family val="2"/>
      </rPr>
      <t>0 (×3)</t>
    </r>
  </si>
  <si>
    <r>
      <t xml:space="preserve">Very large numbers </t>
    </r>
    <r>
      <rPr>
        <sz val="10"/>
        <color theme="1"/>
        <rFont val="Calibri"/>
        <family val="2"/>
      </rPr>
      <t>999999999, 999999998</t>
    </r>
  </si>
  <si>
    <r>
      <t xml:space="preserve">Very small decimals </t>
    </r>
    <r>
      <rPr>
        <sz val="10"/>
        <color theme="1"/>
        <rFont val="Calibri"/>
        <family val="2"/>
      </rPr>
      <t>0.0001, 0.0002, 0.0003</t>
    </r>
  </si>
  <si>
    <r>
      <t>Mean=</t>
    </r>
    <r>
      <rPr>
        <sz val="10"/>
        <color theme="1"/>
        <rFont val="Calibri"/>
        <family val="2"/>
      </rPr>
      <t>0.0002</t>
    </r>
    <r>
      <rPr>
        <sz val="12"/>
        <color theme="1"/>
        <rFont val="Calibri"/>
        <family val="2"/>
      </rPr>
      <t>, no floating point display error</t>
    </r>
  </si>
  <si>
    <r>
      <t xml:space="preserve">Multiple modes </t>
    </r>
    <r>
      <rPr>
        <sz val="10"/>
        <color theme="1"/>
        <rFont val="Calibri"/>
        <family val="2"/>
      </rPr>
      <t>1, 1, 2, 2, 3</t>
    </r>
  </si>
  <si>
    <r>
      <t xml:space="preserve">Mode shows both </t>
    </r>
    <r>
      <rPr>
        <sz val="10"/>
        <color theme="1"/>
        <rFont val="Calibri"/>
        <family val="2"/>
      </rPr>
      <t>1, 2 (×2)</t>
    </r>
  </si>
  <si>
    <r>
      <t xml:space="preserve">No repeating values </t>
    </r>
    <r>
      <rPr>
        <sz val="10"/>
        <color theme="1"/>
        <rFont val="Calibri"/>
        <family val="2"/>
      </rPr>
      <t>1, 2, 3, 4</t>
    </r>
  </si>
  <si>
    <r>
      <t>Mode=</t>
    </r>
    <r>
      <rPr>
        <sz val="10"/>
        <color theme="1"/>
        <rFont val="Calibri"/>
        <family val="2"/>
      </rPr>
      <t>No repeating values</t>
    </r>
  </si>
  <si>
    <r>
      <t xml:space="preserve">Sample Std Dev with 1 value </t>
    </r>
    <r>
      <rPr>
        <sz val="10"/>
        <color theme="1"/>
        <rFont val="Calibri"/>
        <family val="2"/>
      </rPr>
      <t>5</t>
    </r>
  </si>
  <si>
    <r>
      <t>Samp StdD=</t>
    </r>
    <r>
      <rPr>
        <sz val="10"/>
        <color theme="1"/>
        <rFont val="Calibri"/>
        <family val="2"/>
      </rPr>
      <t>N/A</t>
    </r>
    <r>
      <rPr>
        <sz val="12"/>
        <color theme="1"/>
        <rFont val="Calibri"/>
        <family val="2"/>
      </rPr>
      <t xml:space="preserve"> (n-1=0, division by zero avoided)</t>
    </r>
  </si>
  <si>
    <r>
      <t xml:space="preserve">Sample Std Dev with 2 values </t>
    </r>
    <r>
      <rPr>
        <sz val="10"/>
        <color theme="1"/>
        <rFont val="Calibri"/>
        <family val="2"/>
      </rPr>
      <t>2, 8</t>
    </r>
  </si>
  <si>
    <r>
      <t>Samp StdD=</t>
    </r>
    <r>
      <rPr>
        <sz val="10"/>
        <color theme="1"/>
        <rFont val="Calibri"/>
        <family val="2"/>
      </rPr>
      <t>4.24264</t>
    </r>
    <r>
      <rPr>
        <sz val="12"/>
        <color theme="1"/>
        <rFont val="Calibri"/>
        <family val="2"/>
      </rPr>
      <t>, not same as Pop Std Dev</t>
    </r>
  </si>
  <si>
    <r>
      <t xml:space="preserve">Geo Mean with all positive </t>
    </r>
    <r>
      <rPr>
        <sz val="10"/>
        <color theme="1"/>
        <rFont val="Calibri"/>
        <family val="2"/>
      </rPr>
      <t>2, 8, 32</t>
    </r>
  </si>
  <si>
    <r>
      <t>Geo Mean=</t>
    </r>
    <r>
      <rPr>
        <sz val="10"/>
        <color theme="1"/>
        <rFont val="Calibri"/>
        <family val="2"/>
      </rPr>
      <t>8</t>
    </r>
  </si>
  <si>
    <r>
      <t xml:space="preserve">Geo Mean with a zero </t>
    </r>
    <r>
      <rPr>
        <sz val="10"/>
        <color theme="1"/>
        <rFont val="Calibri"/>
        <family val="2"/>
      </rPr>
      <t>0, 2, 4</t>
    </r>
  </si>
  <si>
    <r>
      <t>Geo Mean=</t>
    </r>
    <r>
      <rPr>
        <sz val="10"/>
        <color theme="1"/>
        <rFont val="Calibri"/>
        <family val="2"/>
      </rPr>
      <t>N/A</t>
    </r>
    <r>
      <rPr>
        <sz val="12"/>
        <color theme="1"/>
        <rFont val="Calibri"/>
        <family val="2"/>
      </rPr>
      <t xml:space="preserve"> (log of zero undefined)</t>
    </r>
  </si>
  <si>
    <r>
      <t xml:space="preserve">Geo Mean with negative </t>
    </r>
    <r>
      <rPr>
        <sz val="10"/>
        <color theme="1"/>
        <rFont val="Calibri"/>
        <family val="2"/>
      </rPr>
      <t>−2, 4, 8</t>
    </r>
  </si>
  <si>
    <r>
      <t>Geo Mean=</t>
    </r>
    <r>
      <rPr>
        <sz val="10"/>
        <color theme="1"/>
        <rFont val="Calibri"/>
        <family val="2"/>
      </rPr>
      <t>N/A</t>
    </r>
    <r>
      <rPr>
        <sz val="12"/>
        <color theme="1"/>
        <rFont val="Calibri"/>
        <family val="2"/>
      </rPr>
      <t xml:space="preserve"> (log of negative undefined)</t>
    </r>
  </si>
  <si>
    <r>
      <t xml:space="preserve">Letters in input </t>
    </r>
    <r>
      <rPr>
        <sz val="10"/>
        <color theme="1"/>
        <rFont val="Calibri"/>
        <family val="2"/>
      </rPr>
      <t>a, b, c</t>
    </r>
  </si>
  <si>
    <r>
      <t>Error</t>
    </r>
    <r>
      <rPr>
        <sz val="12"/>
        <color theme="1"/>
        <rFont val="Calibri"/>
        <family val="2"/>
      </rPr>
      <t xml:space="preserve"> shown, no crash</t>
    </r>
  </si>
  <si>
    <r>
      <t xml:space="preserve">Mixed valid and invalid </t>
    </r>
    <r>
      <rPr>
        <sz val="10"/>
        <color theme="1"/>
        <rFont val="Calibri"/>
        <family val="2"/>
      </rPr>
      <t>1, 2, abc, 4</t>
    </r>
  </si>
  <si>
    <r>
      <t xml:space="preserve">Trailing comma </t>
    </r>
    <r>
      <rPr>
        <sz val="10"/>
        <color theme="1"/>
        <rFont val="Calibri"/>
        <family val="2"/>
      </rPr>
      <t>1, 2, 3,</t>
    </r>
  </si>
  <si>
    <r>
      <t xml:space="preserve">Double comma </t>
    </r>
    <r>
      <rPr>
        <sz val="10"/>
        <color theme="1"/>
        <rFont val="Calibri"/>
        <family val="2"/>
      </rPr>
      <t>1, 2,, 3</t>
    </r>
  </si>
  <si>
    <r>
      <t>Error</t>
    </r>
    <r>
      <rPr>
        <sz val="12"/>
        <color theme="1"/>
        <rFont val="Calibri"/>
        <family val="2"/>
      </rPr>
      <t xml:space="preserve"> or ignores empty token, no crash</t>
    </r>
  </si>
  <si>
    <r>
      <t xml:space="preserve">One very large outlier </t>
    </r>
    <r>
      <rPr>
        <sz val="10"/>
        <color theme="1"/>
        <rFont val="Calibri"/>
        <family val="2"/>
      </rPr>
      <t>1, 2, 3, 999999</t>
    </r>
  </si>
  <si>
    <r>
      <t xml:space="preserve">Floating point precision </t>
    </r>
    <r>
      <rPr>
        <sz val="10"/>
        <color theme="1"/>
        <rFont val="Calibri"/>
        <family val="2"/>
      </rPr>
      <t>0.1, 0.2, 0.3</t>
    </r>
  </si>
  <si>
    <r>
      <t>Sum=</t>
    </r>
    <r>
      <rPr>
        <sz val="10"/>
        <color theme="1"/>
        <rFont val="Calibri"/>
        <family val="2"/>
      </rPr>
      <t>0.6</t>
    </r>
    <r>
      <rPr>
        <sz val="12"/>
        <color theme="1"/>
        <rFont val="Calibri"/>
        <family val="2"/>
      </rPr>
      <t>, Mean=</t>
    </r>
    <r>
      <rPr>
        <sz val="10"/>
        <color theme="1"/>
        <rFont val="Calibri"/>
        <family val="2"/>
      </rPr>
      <t>0.2</t>
    </r>
    <r>
      <rPr>
        <sz val="12"/>
        <color theme="1"/>
        <rFont val="Calibri"/>
        <family val="2"/>
      </rPr>
      <t xml:space="preserve"> — check no floating point artifacts</t>
    </r>
  </si>
  <si>
    <r>
      <t xml:space="preserve">Large dataset </t>
    </r>
    <r>
      <rPr>
        <sz val="10"/>
        <color theme="1"/>
        <rFont val="Calibri"/>
        <family val="2"/>
      </rPr>
      <t>100 comma-separated values</t>
    </r>
  </si>
  <si>
    <r>
      <t xml:space="preserve">Negative decimals </t>
    </r>
    <r>
      <rPr>
        <sz val="10"/>
        <color theme="1"/>
        <rFont val="Calibri"/>
        <family val="2"/>
      </rPr>
      <t>-1.5, -2.5, -3.5</t>
    </r>
  </si>
  <si>
    <r>
      <t>Mean=</t>
    </r>
    <r>
      <rPr>
        <sz val="10"/>
        <color theme="1"/>
        <rFont val="Calibri"/>
        <family val="2"/>
      </rPr>
      <t>-2.5</t>
    </r>
    <r>
      <rPr>
        <sz val="12"/>
        <color theme="1"/>
        <rFont val="Calibri"/>
        <family val="2"/>
      </rPr>
      <t>, correct Std Dev, no crash</t>
    </r>
  </si>
  <si>
    <t>Mode 3 - Statistics Calculator</t>
  </si>
  <si>
    <t>Mode 2 - Scientific Calculator</t>
  </si>
  <si>
    <t>Mode 4 - Health</t>
  </si>
  <si>
    <t>Body Fat: -29.4% Bug should not give any value</t>
  </si>
  <si>
    <t>BMI: 25.00  →  Overweight rounds up</t>
  </si>
  <si>
    <t>BMI: 29.98  →  Overweight doesn’t round up</t>
  </si>
  <si>
    <t>Health - BMI</t>
  </si>
  <si>
    <t>Health - Calories</t>
  </si>
  <si>
    <t>Mode 5 - Finance</t>
  </si>
  <si>
    <t>Should not calculate</t>
  </si>
  <si>
    <t>Interest: 0.00 Total: 0.00</t>
  </si>
  <si>
    <t>Interest: 1051.63   Total: 11051.63</t>
  </si>
  <si>
    <t>Interest: -1049.41   Total: -11049.41</t>
  </si>
  <si>
    <t>Interest: 1000.00 Total: 11000.00</t>
  </si>
  <si>
    <t>Finance - Simple Interest</t>
  </si>
  <si>
    <t>Finance - Compound Interest</t>
  </si>
  <si>
    <t>Error shown, Output box doesn't update</t>
  </si>
  <si>
    <t>Finance - TVM</t>
  </si>
  <si>
    <t>N = 9.9999 periods, doesn't round up</t>
  </si>
  <si>
    <t>I/Y=5%, shows decimal</t>
  </si>
  <si>
    <t>FV=0, no crash, shows decimal</t>
  </si>
  <si>
    <t>FV=-2000, shows decimal</t>
  </si>
  <si>
    <t>Interest: 0.00 Total: 0.00, should not calculate</t>
  </si>
  <si>
    <t>Error: could not convert string to float: '', doesn't reset</t>
  </si>
  <si>
    <t>Interest: -1049.41   Total: -11049.41, should not calculate</t>
  </si>
  <si>
    <t>Error shown</t>
  </si>
  <si>
    <t>Length</t>
  </si>
  <si>
    <t>Weight</t>
  </si>
  <si>
    <t>Temperature</t>
  </si>
  <si>
    <t>Area</t>
  </si>
  <si>
    <t>Volume</t>
  </si>
  <si>
    <t>Speed</t>
  </si>
  <si>
    <t>Pressure</t>
  </si>
  <si>
    <t>Power</t>
  </si>
  <si>
    <t>Energy</t>
  </si>
  <si>
    <t>Number System</t>
  </si>
  <si>
    <t>Currency</t>
  </si>
  <si>
    <t>General UI</t>
  </si>
  <si>
    <t>Doesn’t Work</t>
  </si>
  <si>
    <t>Converter - Currency</t>
  </si>
  <si>
    <t>Equation</t>
  </si>
  <si>
    <t>System</t>
  </si>
  <si>
    <t>Polynomial</t>
  </si>
  <si>
    <t>Derivative</t>
  </si>
  <si>
    <t>Integral</t>
  </si>
  <si>
    <t>Simplify</t>
  </si>
  <si>
    <t>Mode 9 - Converter</t>
  </si>
  <si>
    <t>Mode 8 - Equation Solver</t>
  </si>
  <si>
    <t>Mode 7 - Programming</t>
  </si>
  <si>
    <t>Mode 6 - Trigonometry</t>
  </si>
  <si>
    <t>No unique solution. Shouldn't display answer</t>
  </si>
  <si>
    <t>Eq Solver - System</t>
  </si>
  <si>
    <t>x = 5 - y, shouldn’t display answer</t>
  </si>
  <si>
    <t xml:space="preserve">Base Input &amp; Display </t>
  </si>
  <si>
    <t xml:space="preserve">Signed / Unsigned </t>
  </si>
  <si>
    <t xml:space="preserve">Bit Grid </t>
  </si>
  <si>
    <t>Arithmetic Operations</t>
  </si>
  <si>
    <t xml:space="preserve">Bitwise Operations </t>
  </si>
  <si>
    <t xml:space="preserve">Shift &amp; Rotate </t>
  </si>
  <si>
    <t xml:space="preserve">CE and Backspace </t>
  </si>
  <si>
    <r>
      <t>8</t>
    </r>
    <r>
      <rPr>
        <sz val="12"/>
        <color theme="1"/>
        <rFont val="Aptos Narrow"/>
        <family val="2"/>
        <scheme val="minor"/>
      </rPr>
      <t xml:space="preserve"> (</t>
    </r>
    <r>
      <rPr>
        <sz val="10"/>
        <color theme="1"/>
        <rFont val="Arial Unicode MS"/>
        <family val="2"/>
      </rPr>
      <t>1100 AND 1010 = 1000</t>
    </r>
    <r>
      <rPr>
        <sz val="12"/>
        <color theme="1"/>
        <rFont val="Aptos Narrow"/>
        <family val="2"/>
        <scheme val="minor"/>
      </rPr>
      <t>)</t>
    </r>
    <r>
      <rPr>
        <sz val="12"/>
        <color theme="1"/>
        <rFont val="Calibri"/>
        <family val="2"/>
      </rPr>
      <t>, enter key doesn’t work</t>
    </r>
  </si>
  <si>
    <r>
      <t>14</t>
    </r>
    <r>
      <rPr>
        <sz val="12"/>
        <color theme="1"/>
        <rFont val="Aptos Narrow"/>
        <family val="2"/>
        <scheme val="minor"/>
      </rPr>
      <t xml:space="preserve"> (</t>
    </r>
    <r>
      <rPr>
        <sz val="10"/>
        <color theme="1"/>
        <rFont val="Arial Unicode MS"/>
        <family val="2"/>
      </rPr>
      <t>1100 OR 1010 = 1110</t>
    </r>
    <r>
      <rPr>
        <sz val="12"/>
        <color theme="1"/>
        <rFont val="Aptos Narrow"/>
        <family val="2"/>
        <scheme val="minor"/>
      </rPr>
      <t>)</t>
    </r>
    <r>
      <rPr>
        <sz val="12"/>
        <color theme="1"/>
        <rFont val="Calibri"/>
        <family val="2"/>
      </rPr>
      <t>, enter key doesn’t work</t>
    </r>
  </si>
  <si>
    <r>
      <t>6</t>
    </r>
    <r>
      <rPr>
        <sz val="12"/>
        <color theme="1"/>
        <rFont val="Aptos Narrow"/>
        <family val="2"/>
        <scheme val="minor"/>
      </rPr>
      <t xml:space="preserve"> (</t>
    </r>
    <r>
      <rPr>
        <sz val="10"/>
        <color theme="1"/>
        <rFont val="Arial Unicode MS"/>
        <family val="2"/>
      </rPr>
      <t>1100 XOR 1010 = 0110</t>
    </r>
    <r>
      <rPr>
        <sz val="12"/>
        <color theme="1"/>
        <rFont val="Aptos Narrow"/>
        <family val="2"/>
        <scheme val="minor"/>
      </rPr>
      <t>)</t>
    </r>
    <r>
      <rPr>
        <sz val="12"/>
        <color theme="1"/>
        <rFont val="Calibri"/>
        <family val="2"/>
      </rPr>
      <t>, enter key doesn’t work</t>
    </r>
  </si>
  <si>
    <t>Incorrect Output</t>
  </si>
  <si>
    <t>Shows old result</t>
  </si>
  <si>
    <t>Output box not updated till correct result is inputed</t>
  </si>
  <si>
    <t>Old result stays</t>
  </si>
  <si>
    <t>No crash, Output box doesn’t update</t>
  </si>
  <si>
    <t>No crash, no error message displayed in output box</t>
  </si>
  <si>
    <t>Old results still shown</t>
  </si>
  <si>
    <t>Trigonometry - Trig Values</t>
  </si>
  <si>
    <t>Trigonometry - Find Angles</t>
  </si>
  <si>
    <t>Bug#</t>
  </si>
  <si>
    <t>#8</t>
  </si>
  <si>
    <t>#14</t>
  </si>
  <si>
    <t>#15</t>
  </si>
  <si>
    <t>#2</t>
  </si>
  <si>
    <t>#3</t>
  </si>
  <si>
    <t>#4</t>
  </si>
  <si>
    <t>#6</t>
  </si>
  <si>
    <t>#11</t>
  </si>
  <si>
    <t>#12</t>
  </si>
  <si>
    <t>#16</t>
  </si>
  <si>
    <t>#20</t>
  </si>
  <si>
    <t>#23</t>
  </si>
  <si>
    <t>#1</t>
  </si>
  <si>
    <t>#5</t>
  </si>
  <si>
    <t>#7</t>
  </si>
  <si>
    <t>#9</t>
  </si>
  <si>
    <t>#10</t>
  </si>
  <si>
    <t>#13</t>
  </si>
  <si>
    <t>#17</t>
  </si>
  <si>
    <t>#18</t>
  </si>
  <si>
    <t>#22</t>
  </si>
  <si>
    <t>#24</t>
  </si>
  <si>
    <t>#19</t>
  </si>
  <si>
    <t>#21</t>
  </si>
  <si>
    <t>#25</t>
  </si>
  <si>
    <t>Health – Body Fat</t>
  </si>
  <si>
    <t>Extreme values (Height=999) produce negative body fat (−29.4%)</t>
  </si>
  <si>
    <t>Medium</t>
  </si>
  <si>
    <t>Trigonometry – Trig Values</t>
  </si>
  <si>
    <t>Angle=90 RAD gives wrong sin/cos/tan and undefined hyperbolic values</t>
  </si>
  <si>
    <t>Angle=90 GRAD gives wrong csc/sec/cot and incorrect hyperbolics</t>
  </si>
  <si>
    <t>m+, mc, mr then ⌫ appends result unexpectedly</t>
  </si>
  <si>
    <t>Multiple m+ stores accumulate on ⌫ press, keep adding to display</t>
  </si>
  <si>
    <t>m+ then m− then mr, pressing ⌫ appends result</t>
  </si>
  <si>
    <t>Health – BMI</t>
  </si>
  <si>
    <t>Weight=68.9, Height=166 → BMI 25.00 rounds up to Overweight incorrectly</t>
  </si>
  <si>
    <t>Low</t>
  </si>
  <si>
    <t>Finance – Simple Interest</t>
  </si>
  <si>
    <t>All-empty fields crash with unconverted string error, no reset</t>
  </si>
  <si>
    <t>Finance – Compound Interest</t>
  </si>
  <si>
    <t>Negative principal (P=−10000) calculates negative totals unchecked</t>
  </si>
  <si>
    <t>Angle=π/2 (1.5708) RAD — verify sin=1, cos≈0, tan=undefined</t>
  </si>
  <si>
    <t>Trigonometry – Find Angles</t>
  </si>
  <si>
    <t>a=5, c=3 (a&gt;c) → sin θ shows error across all 3 modes</t>
  </si>
  <si>
    <t>Eq Solver – System</t>
  </si>
  <si>
    <t>Same-line equations display x=5−y instead of 'infinite solutions'</t>
  </si>
  <si>
    <t>Double decimal (5..3) — second dot shows Error instead of being ignored</t>
  </si>
  <si>
    <t>mr without storing anything requires extra clear-memory step</t>
  </si>
  <si>
    <t>Weight=82.6, Height=166 → BMI 29.98 stays Overweight (no round-up edge)</t>
  </si>
  <si>
    <t>Health – Calories</t>
  </si>
  <si>
    <t>No Clear button; can't reset fields before recalculating</t>
  </si>
  <si>
    <t>P=0, R=5, T=2 calculates 0.00 instead of blocking zero principal</t>
  </si>
  <si>
    <t>Finance – TVM</t>
  </si>
  <si>
    <t>Non-numeric PV (abc) shows error but output box never updates</t>
  </si>
  <si>
    <t>Empty angle field: Calculate pressed — output box never updates</t>
  </si>
  <si>
    <t>Non-numeric angle (abc): no crash, but no error shown in output</t>
  </si>
  <si>
    <t>Inconsistent equations (parallel lines) don't update output box</t>
  </si>
  <si>
    <t>Single equation entered — error shown but output box not updated</t>
  </si>
  <si>
    <t>Switch mode without recalculating — stale results remain visible</t>
  </si>
  <si>
    <t>Switching mode without recalculating leaves old result visible</t>
  </si>
  <si>
    <t>Converter – Currency</t>
  </si>
  <si>
    <t>USD→INR live rate and last-updated time shown (verify correctness)</t>
  </si>
  <si>
    <t>Total Bugs</t>
  </si>
  <si>
    <t>Critical</t>
  </si>
  <si>
    <t>In Progress</t>
  </si>
  <si>
    <t>Fixed</t>
  </si>
  <si>
    <t>Moderate</t>
  </si>
  <si>
    <t>Minor</t>
  </si>
  <si>
    <t>Nice-to-have</t>
  </si>
  <si>
    <t>1 Kilometer → Meter</t>
  </si>
  <si>
    <t>1 Mile → Kilometer</t>
  </si>
  <si>
    <t>0 Meter → Kilometer</t>
  </si>
  <si>
    <t>-1 Meter → Kilometer</t>
  </si>
  <si>
    <t>abc Meter → Kilometer</t>
  </si>
  <si>
    <t>Error, no crash</t>
  </si>
  <si>
    <t>1 Kilogram → Gram</t>
  </si>
  <si>
    <t>1 Pound → Kilogram</t>
  </si>
  <si>
    <t>-1 Kilogram → Gram</t>
  </si>
  <si>
    <t>100 Celsius → Fahrenheit</t>
  </si>
  <si>
    <t>0 Celsius → Fahrenheit</t>
  </si>
  <si>
    <t>0 Celsius → Kelvin</t>
  </si>
  <si>
    <t>-273.15 Celsius → Kelvin</t>
  </si>
  <si>
    <t>0 (absolute zero)</t>
  </si>
  <si>
    <t>-274 Celsius → any</t>
  </si>
  <si>
    <t>-459.68 Fahrenheit → Celsius</t>
  </si>
  <si>
    <t>-273.15 (absolute zero in Fahrenheit)</t>
  </si>
  <si>
    <t>1 Sq Kilometer → Sq Meter</t>
  </si>
  <si>
    <t>1 Acre → Sq Meter</t>
  </si>
  <si>
    <t>-1 Sq Meter → Sq Kilometer</t>
  </si>
  <si>
    <t>1 Cubic Meter → Liter</t>
  </si>
  <si>
    <t>1 Gallon(US) → Liter</t>
  </si>
  <si>
    <t>0 Liter → Milliliter</t>
  </si>
  <si>
    <t>1 m/s → km/h</t>
  </si>
  <si>
    <t>100 km/h → mph</t>
  </si>
  <si>
    <t>-1 m/s → km/h</t>
  </si>
  <si>
    <t>1 Atmosphere → Pascal</t>
  </si>
  <si>
    <t>1 Bar → Pascal</t>
  </si>
  <si>
    <t>1 Kilowatt → Watt</t>
  </si>
  <si>
    <t>1 Horsepower → Watt</t>
  </si>
  <si>
    <t>1 Kilocalorie → Joule</t>
  </si>
  <si>
    <t>1 kWh → Joule</t>
  </si>
  <si>
    <t>255 Decimal → Binary</t>
  </si>
  <si>
    <t>255 Decimal → Hexadecimal</t>
  </si>
  <si>
    <t>FF Hexadecimal → Decimal</t>
  </si>
  <si>
    <t>11111111 Binary → Decimal</t>
  </si>
  <si>
    <t>abc Decimal → Binary</t>
  </si>
  <si>
    <t>1 USD → INR, live rates available</t>
  </si>
  <si>
    <t>1 USD → INR, no internet</t>
  </si>
  <si>
    <t>0 USD → INR</t>
  </si>
  <si>
    <t>0, no crash</t>
  </si>
  <si>
    <t>-1 USD → INR</t>
  </si>
  <si>
    <t>abc USD → INR</t>
  </si>
  <si>
    <r>
      <t xml:space="preserve">Store </t>
    </r>
    <r>
      <rPr>
        <b/>
        <sz val="10"/>
        <color rgb="FFC0392B"/>
        <rFont val="Calibri"/>
        <family val="2"/>
      </rPr>
      <t>5</t>
    </r>
    <r>
      <rPr>
        <b/>
        <sz val="12"/>
        <color rgb="FFC0392B"/>
        <rFont val="Calibri"/>
        <family val="2"/>
      </rPr>
      <t xml:space="preserve"> via </t>
    </r>
    <r>
      <rPr>
        <b/>
        <sz val="10"/>
        <color rgb="FFC0392B"/>
        <rFont val="Calibri"/>
        <family val="2"/>
      </rPr>
      <t>m+</t>
    </r>
    <r>
      <rPr>
        <b/>
        <sz val="12"/>
        <color rgb="FFC0392B"/>
        <rFont val="Calibri"/>
        <family val="2"/>
      </rPr>
      <t xml:space="preserve">, press </t>
    </r>
    <r>
      <rPr>
        <b/>
        <sz val="10"/>
        <color rgb="FFC0392B"/>
        <rFont val="Calibri"/>
        <family val="2"/>
      </rPr>
      <t>mc</t>
    </r>
    <r>
      <rPr>
        <b/>
        <sz val="12"/>
        <color rgb="FFC0392B"/>
        <rFont val="Calibri"/>
        <family val="2"/>
      </rPr>
      <t xml:space="preserve">, then </t>
    </r>
    <r>
      <rPr>
        <b/>
        <sz val="10"/>
        <color rgb="FFC0392B"/>
        <rFont val="Calibri"/>
        <family val="2"/>
      </rPr>
      <t>mr</t>
    </r>
  </si>
  <si>
    <r>
      <t>5</t>
    </r>
    <r>
      <rPr>
        <b/>
        <sz val="12"/>
        <color rgb="FFC0392B"/>
        <rFont val="Calibri"/>
        <family val="2"/>
      </rPr>
      <t xml:space="preserve"> → </t>
    </r>
    <r>
      <rPr>
        <b/>
        <sz val="10"/>
        <color rgb="FFC0392B"/>
        <rFont val="Calibri"/>
        <family val="2"/>
      </rPr>
      <t>m+</t>
    </r>
    <r>
      <rPr>
        <b/>
        <sz val="12"/>
        <color rgb="FFC0392B"/>
        <rFont val="Calibri"/>
        <family val="2"/>
      </rPr>
      <t xml:space="preserve">, </t>
    </r>
    <r>
      <rPr>
        <b/>
        <sz val="10"/>
        <color rgb="FFC0392B"/>
        <rFont val="Calibri"/>
        <family val="2"/>
      </rPr>
      <t>3</t>
    </r>
    <r>
      <rPr>
        <b/>
        <sz val="12"/>
        <color rgb="FFC0392B"/>
        <rFont val="Calibri"/>
        <family val="2"/>
      </rPr>
      <t xml:space="preserve"> → </t>
    </r>
    <r>
      <rPr>
        <b/>
        <sz val="10"/>
        <color rgb="FFC0392B"/>
        <rFont val="Calibri"/>
        <family val="2"/>
      </rPr>
      <t>m+</t>
    </r>
    <r>
      <rPr>
        <b/>
        <sz val="12"/>
        <color rgb="FFC0392B"/>
        <rFont val="Calibri"/>
        <family val="2"/>
      </rPr>
      <t xml:space="preserve">, </t>
    </r>
    <r>
      <rPr>
        <b/>
        <sz val="10"/>
        <color rgb="FFC0392B"/>
        <rFont val="Calibri"/>
        <family val="2"/>
      </rPr>
      <t>mr</t>
    </r>
  </si>
  <si>
    <r>
      <t>10</t>
    </r>
    <r>
      <rPr>
        <b/>
        <sz val="12"/>
        <color rgb="FFC0392B"/>
        <rFont val="Calibri"/>
        <family val="2"/>
      </rPr>
      <t xml:space="preserve"> → </t>
    </r>
    <r>
      <rPr>
        <b/>
        <sz val="10"/>
        <color rgb="FFC0392B"/>
        <rFont val="Calibri"/>
        <family val="2"/>
      </rPr>
      <t>m+</t>
    </r>
    <r>
      <rPr>
        <b/>
        <sz val="12"/>
        <color rgb="FFC0392B"/>
        <rFont val="Calibri"/>
        <family val="2"/>
      </rPr>
      <t xml:space="preserve">, </t>
    </r>
    <r>
      <rPr>
        <b/>
        <sz val="10"/>
        <color rgb="FFC0392B"/>
        <rFont val="Calibri"/>
        <family val="2"/>
      </rPr>
      <t>3</t>
    </r>
    <r>
      <rPr>
        <b/>
        <sz val="12"/>
        <color rgb="FFC0392B"/>
        <rFont val="Calibri"/>
        <family val="2"/>
      </rPr>
      <t xml:space="preserve"> → </t>
    </r>
    <r>
      <rPr>
        <b/>
        <sz val="10"/>
        <color rgb="FFC0392B"/>
        <rFont val="Calibri"/>
        <family val="2"/>
      </rPr>
      <t>m−</t>
    </r>
    <r>
      <rPr>
        <b/>
        <sz val="12"/>
        <color rgb="FFC0392B"/>
        <rFont val="Calibri"/>
        <family val="2"/>
      </rPr>
      <t xml:space="preserve">, </t>
    </r>
    <r>
      <rPr>
        <b/>
        <sz val="10"/>
        <color rgb="FFC0392B"/>
        <rFont val="Calibri"/>
        <family val="2"/>
      </rPr>
      <t>mr</t>
    </r>
  </si>
  <si>
    <r>
      <t xml:space="preserve">Press </t>
    </r>
    <r>
      <rPr>
        <b/>
        <sz val="10"/>
        <color rgb="FFC0392B"/>
        <rFont val="Calibri"/>
        <family val="2"/>
      </rPr>
      <t>mr</t>
    </r>
    <r>
      <rPr>
        <b/>
        <sz val="12"/>
        <color rgb="FFC0392B"/>
        <rFont val="Calibri"/>
        <family val="2"/>
      </rPr>
      <t xml:space="preserve"> without storing anything</t>
    </r>
  </si>
  <si>
    <r>
      <t>Weight=</t>
    </r>
    <r>
      <rPr>
        <b/>
        <sz val="10"/>
        <color rgb="FFC0392B"/>
        <rFont val="Calibri"/>
        <family val="2"/>
      </rPr>
      <t>68.9</t>
    </r>
    <r>
      <rPr>
        <b/>
        <sz val="12"/>
        <color rgb="FFC0392B"/>
        <rFont val="Calibri"/>
        <family val="2"/>
      </rPr>
      <t>, Height=</t>
    </r>
    <r>
      <rPr>
        <b/>
        <sz val="10"/>
        <color rgb="FFC0392B"/>
        <rFont val="Calibri"/>
        <family val="2"/>
      </rPr>
      <t>166</t>
    </r>
  </si>
  <si>
    <r>
      <t>Weight=</t>
    </r>
    <r>
      <rPr>
        <b/>
        <sz val="10"/>
        <color theme="5"/>
        <rFont val="Calibri"/>
        <family val="2"/>
      </rPr>
      <t>82.6</t>
    </r>
    <r>
      <rPr>
        <b/>
        <sz val="12"/>
        <color theme="5"/>
        <rFont val="Calibri"/>
        <family val="2"/>
      </rPr>
      <t>, Height=</t>
    </r>
    <r>
      <rPr>
        <b/>
        <sz val="10"/>
        <color theme="5"/>
        <rFont val="Calibri"/>
        <family val="2"/>
      </rPr>
      <t>166</t>
    </r>
  </si>
  <si>
    <r>
      <t>Male, very large values Height=</t>
    </r>
    <r>
      <rPr>
        <b/>
        <sz val="10"/>
        <color rgb="FFC0392B"/>
        <rFont val="Calibri"/>
        <family val="2"/>
      </rPr>
      <t>999</t>
    </r>
    <r>
      <rPr>
        <b/>
        <sz val="12"/>
        <color rgb="FFC0392B"/>
        <rFont val="Calibri"/>
        <family val="2"/>
      </rPr>
      <t>, Neck=</t>
    </r>
    <r>
      <rPr>
        <b/>
        <sz val="10"/>
        <color rgb="FFC0392B"/>
        <rFont val="Calibri"/>
        <family val="2"/>
      </rPr>
      <t>38</t>
    </r>
    <r>
      <rPr>
        <b/>
        <sz val="12"/>
        <color rgb="FFC0392B"/>
        <rFont val="Calibri"/>
        <family val="2"/>
      </rPr>
      <t>, Waist=</t>
    </r>
    <r>
      <rPr>
        <b/>
        <sz val="10"/>
        <color rgb="FFC0392B"/>
        <rFont val="Calibri"/>
        <family val="2"/>
      </rPr>
      <t>85</t>
    </r>
  </si>
  <si>
    <r>
      <t>Angle=</t>
    </r>
    <r>
      <rPr>
        <b/>
        <sz val="10"/>
        <color rgb="FFC0392B"/>
        <rFont val="Calibri"/>
        <family val="2"/>
      </rPr>
      <t>90</t>
    </r>
    <r>
      <rPr>
        <b/>
        <sz val="12"/>
        <color rgb="FFC0392B"/>
        <rFont val="Calibri"/>
        <family val="2"/>
      </rPr>
      <t>, RAD — all 9 boxes</t>
    </r>
  </si>
  <si>
    <r>
      <t>Angle=</t>
    </r>
    <r>
      <rPr>
        <b/>
        <sz val="10"/>
        <color rgb="FFC0392B"/>
        <rFont val="Calibri"/>
        <family val="2"/>
      </rPr>
      <t>90</t>
    </r>
    <r>
      <rPr>
        <b/>
        <sz val="12"/>
        <color rgb="FFC0392B"/>
        <rFont val="Calibri"/>
        <family val="2"/>
      </rPr>
      <t>, GRAD — all 9 boxes</t>
    </r>
  </si>
  <si>
    <r>
      <t>Angle=</t>
    </r>
    <r>
      <rPr>
        <b/>
        <sz val="10"/>
        <color theme="5"/>
        <rFont val="Calibri"/>
        <family val="2"/>
      </rPr>
      <t>π/2</t>
    </r>
    <r>
      <rPr>
        <b/>
        <sz val="12"/>
        <color theme="5"/>
        <rFont val="Calibri"/>
        <family val="2"/>
      </rPr>
      <t xml:space="preserve"> typed as </t>
    </r>
    <r>
      <rPr>
        <b/>
        <sz val="10"/>
        <color theme="5"/>
        <rFont val="Calibri"/>
        <family val="2"/>
      </rPr>
      <t>1.5708</t>
    </r>
    <r>
      <rPr>
        <b/>
        <sz val="12"/>
        <color theme="5"/>
        <rFont val="Calibri"/>
        <family val="2"/>
      </rPr>
      <t>, RAD — all 9 boxes</t>
    </r>
  </si>
  <si>
    <r>
      <t>sin=</t>
    </r>
    <r>
      <rPr>
        <b/>
        <sz val="10"/>
        <color theme="5"/>
        <rFont val="Calibri"/>
        <family val="2"/>
      </rPr>
      <t>1</t>
    </r>
    <r>
      <rPr>
        <b/>
        <sz val="12"/>
        <color theme="5"/>
        <rFont val="Calibri"/>
        <family val="2"/>
      </rPr>
      <t>, cos=</t>
    </r>
    <r>
      <rPr>
        <b/>
        <sz val="10"/>
        <color theme="5"/>
        <rFont val="Calibri"/>
        <family val="2"/>
      </rPr>
      <t>~0</t>
    </r>
    <r>
      <rPr>
        <b/>
        <sz val="12"/>
        <color theme="5"/>
        <rFont val="Calibri"/>
        <family val="2"/>
      </rPr>
      <t>, tan=</t>
    </r>
    <r>
      <rPr>
        <b/>
        <sz val="10"/>
        <color theme="5"/>
        <rFont val="Calibri"/>
        <family val="2"/>
      </rPr>
      <t>undefined</t>
    </r>
    <r>
      <rPr>
        <b/>
        <sz val="12"/>
        <color theme="5"/>
        <rFont val="Calibri"/>
        <family val="2"/>
      </rPr>
      <t xml:space="preserve"> — verify</t>
    </r>
  </si>
  <si>
    <r>
      <t>Angle=</t>
    </r>
    <r>
      <rPr>
        <b/>
        <sz val="10"/>
        <color rgb="FFC0392B"/>
        <rFont val="Calibri"/>
        <family val="2"/>
      </rPr>
      <t>abc</t>
    </r>
    <r>
      <rPr>
        <b/>
        <sz val="12"/>
        <color rgb="FFC0392B"/>
        <rFont val="Calibri"/>
        <family val="2"/>
      </rPr>
      <t>, press Calculate</t>
    </r>
  </si>
  <si>
    <r>
      <t>a=</t>
    </r>
    <r>
      <rPr>
        <b/>
        <sz val="10"/>
        <color rgb="FFC0392B"/>
        <rFont val="Calibri"/>
        <family val="2"/>
      </rPr>
      <t>5</t>
    </r>
    <r>
      <rPr>
        <b/>
        <sz val="12"/>
        <color rgb="FFC0392B"/>
        <rFont val="Calibri"/>
        <family val="2"/>
      </rPr>
      <t>, c=</t>
    </r>
    <r>
      <rPr>
        <b/>
        <sz val="10"/>
        <color rgb="FFC0392B"/>
        <rFont val="Calibri"/>
        <family val="2"/>
      </rPr>
      <t>3</t>
    </r>
    <r>
      <rPr>
        <b/>
        <sz val="12"/>
        <color rgb="FFC0392B"/>
        <rFont val="Calibri"/>
        <family val="2"/>
      </rPr>
      <t xml:space="preserve"> (a &gt; c) → sin θ</t>
    </r>
  </si>
  <si>
    <r>
      <t>Error: a cannot be greater than c</t>
    </r>
    <r>
      <rPr>
        <b/>
        <sz val="12"/>
        <color rgb="FFC0392B"/>
        <rFont val="Calibri"/>
        <family val="2"/>
      </rPr>
      <t xml:space="preserve"> — all 3 modes</t>
    </r>
  </si>
  <si>
    <r>
      <t>Eq1=</t>
    </r>
    <r>
      <rPr>
        <b/>
        <sz val="10"/>
        <color rgb="FFC0392B"/>
        <rFont val="Calibri"/>
        <family val="2"/>
      </rPr>
      <t>x + y = 5</t>
    </r>
    <r>
      <rPr>
        <b/>
        <sz val="12"/>
        <color rgb="FFC0392B"/>
        <rFont val="Calibri"/>
        <family val="2"/>
      </rPr>
      <t>, Eq2=</t>
    </r>
    <r>
      <rPr>
        <b/>
        <sz val="10"/>
        <color rgb="FFC0392B"/>
        <rFont val="Calibri"/>
        <family val="2"/>
      </rPr>
      <t>x + y = 7</t>
    </r>
    <r>
      <rPr>
        <b/>
        <sz val="12"/>
        <color rgb="FFC0392B"/>
        <rFont val="Calibri"/>
        <family val="2"/>
      </rPr>
      <t xml:space="preserve"> (inconsistent)</t>
    </r>
  </si>
  <si>
    <r>
      <t>No unique solution</t>
    </r>
    <r>
      <rPr>
        <b/>
        <sz val="12"/>
        <color rgb="FFC0392B"/>
        <rFont val="Calibri"/>
        <family val="2"/>
      </rPr>
      <t xml:space="preserve"> — parallel lines, doesn’t update output box</t>
    </r>
  </si>
  <si>
    <r>
      <t>Eq1=</t>
    </r>
    <r>
      <rPr>
        <b/>
        <sz val="10"/>
        <color rgb="FFC0392B"/>
        <rFont val="Calibri"/>
        <family val="2"/>
      </rPr>
      <t>x + y = 5</t>
    </r>
    <r>
      <rPr>
        <b/>
        <sz val="12"/>
        <color rgb="FFC0392B"/>
        <rFont val="Calibri"/>
        <family val="2"/>
      </rPr>
      <t>, Eq2=</t>
    </r>
    <r>
      <rPr>
        <b/>
        <sz val="10"/>
        <color rgb="FFC0392B"/>
        <rFont val="Calibri"/>
        <family val="2"/>
      </rPr>
      <t>2*x + 2*y = 10</t>
    </r>
    <r>
      <rPr>
        <b/>
        <sz val="12"/>
        <color rgb="FFC0392B"/>
        <rFont val="Calibri"/>
        <family val="2"/>
      </rPr>
      <t xml:space="preserve"> (same line)</t>
    </r>
  </si>
  <si>
    <r>
      <t>Enter at least 2 equations</t>
    </r>
    <r>
      <rPr>
        <b/>
        <sz val="12"/>
        <color rgb="FFC0392B"/>
        <rFont val="Calibri"/>
        <family val="2"/>
      </rPr>
      <t>, no crash, doesn’t update output box</t>
    </r>
  </si>
  <si>
    <r>
      <t>1</t>
    </r>
    <r>
      <rPr>
        <b/>
        <sz val="12"/>
        <color theme="5"/>
        <rFont val="Calibri"/>
        <family val="2"/>
      </rPr>
      <t xml:space="preserve"> USD → INR, live rates available</t>
    </r>
  </si>
  <si>
    <t>TC-FS-0021</t>
  </si>
  <si>
    <t>TC-FS-022</t>
  </si>
  <si>
    <t>TC-FS-023</t>
  </si>
  <si>
    <t>TC-FS-024</t>
  </si>
  <si>
    <t>TC-FS-025</t>
  </si>
  <si>
    <t>TC-FS-026</t>
  </si>
  <si>
    <t>TC-FS-027</t>
  </si>
  <si>
    <t>TC-FS-028</t>
  </si>
  <si>
    <t>TC-FS-029</t>
  </si>
  <si>
    <t>TC-FS-030</t>
  </si>
  <si>
    <t>TC-FS-031</t>
  </si>
  <si>
    <t>TC-FS-032</t>
  </si>
  <si>
    <t>TC-FS-033</t>
  </si>
  <si>
    <t>TC-FS-034</t>
  </si>
  <si>
    <t>TC-FS-035</t>
  </si>
  <si>
    <t>TC-FA-036</t>
  </si>
  <si>
    <t>TC-FA-037</t>
  </si>
  <si>
    <t>TC-FA-038</t>
  </si>
  <si>
    <t>TC-FA-039</t>
  </si>
  <si>
    <t>TC-FA-040</t>
  </si>
  <si>
    <t>TC-FA-041</t>
  </si>
  <si>
    <t>TC-FA-042</t>
  </si>
  <si>
    <t>TC-FA-043</t>
  </si>
  <si>
    <t>TC-FA-044</t>
  </si>
  <si>
    <t>TC-FA-045</t>
  </si>
  <si>
    <t>TC-FA-046</t>
  </si>
  <si>
    <t>TC-FA-047</t>
  </si>
  <si>
    <t>TC-FA-048</t>
  </si>
  <si>
    <t>TC-FA-049</t>
  </si>
  <si>
    <t>TC-FA-050</t>
  </si>
  <si>
    <t>TC-F-CI-014</t>
  </si>
  <si>
    <t>TC-F-CI-015</t>
  </si>
  <si>
    <t>TC-F-CI-016</t>
  </si>
  <si>
    <t>TC-F-CI-017</t>
  </si>
  <si>
    <t>TC-F-CI-018</t>
  </si>
  <si>
    <t>TC-F-CI-019</t>
  </si>
  <si>
    <t>TC-F-CI-020</t>
  </si>
  <si>
    <t>TC-F-CI-021</t>
  </si>
  <si>
    <t>TC-F-CI-022</t>
  </si>
  <si>
    <t>TC-F-CI-023</t>
  </si>
  <si>
    <t>TC-F-CI-024</t>
  </si>
  <si>
    <t>TC-F-CI-025</t>
  </si>
  <si>
    <t>TC-F-EMI-026</t>
  </si>
  <si>
    <t>TC-F-EMI-027</t>
  </si>
  <si>
    <t>TC-F-EMI-028</t>
  </si>
  <si>
    <t>TC-F-EMI-029</t>
  </si>
  <si>
    <t>TC-F-EMI-030</t>
  </si>
  <si>
    <t>TC-F-EMI-031</t>
  </si>
  <si>
    <t>TC-F-EMI-032</t>
  </si>
  <si>
    <t>TC-F-EMI-033</t>
  </si>
  <si>
    <t>TC-F-EMI-034</t>
  </si>
  <si>
    <t>TC-F-EMI-035</t>
  </si>
  <si>
    <t>TC-F-EMI-036</t>
  </si>
  <si>
    <t>TC-F-EMI-037</t>
  </si>
  <si>
    <t>TC-F-EMI-038</t>
  </si>
  <si>
    <t>TC-F-ROI-039</t>
  </si>
  <si>
    <t>TC-F-ROI-040</t>
  </si>
  <si>
    <t>TC-F-ROI-041</t>
  </si>
  <si>
    <t>TC-F-ROI-042</t>
  </si>
  <si>
    <t>TC-F-ROI-043</t>
  </si>
  <si>
    <t>TC-F-ROI-044</t>
  </si>
  <si>
    <t>TC-F-ROI-045</t>
  </si>
  <si>
    <t>TC-F-ROI-046</t>
  </si>
  <si>
    <t>TC-F-ROI-047</t>
  </si>
  <si>
    <t>TC-F-ROI-048</t>
  </si>
  <si>
    <t>TC-F-ROI-049</t>
  </si>
  <si>
    <t>TC-F-DISC-050</t>
  </si>
  <si>
    <t>TC-F-DISC-051</t>
  </si>
  <si>
    <t>TC-F-DISC-052</t>
  </si>
  <si>
    <t>TC-F-DISC-053</t>
  </si>
  <si>
    <t>TC-F-DISC-054</t>
  </si>
  <si>
    <t>TC-F-DISC-055</t>
  </si>
  <si>
    <t>TC-F-DISC-056</t>
  </si>
  <si>
    <t>TC-F-DISC-057</t>
  </si>
  <si>
    <t>TC-F-DISC-058</t>
  </si>
  <si>
    <t>TC-F-DISC-059</t>
  </si>
  <si>
    <t>TC-F-DISC-060</t>
  </si>
  <si>
    <t>TC-F-TVM-061</t>
  </si>
  <si>
    <t>TC-F-TVM-062</t>
  </si>
  <si>
    <t>TC-F-TVM-063</t>
  </si>
  <si>
    <t>TC-F-TVM-064</t>
  </si>
  <si>
    <t>TC-F-TVM-065</t>
  </si>
  <si>
    <t>TC-F-TVM-066</t>
  </si>
  <si>
    <t>TC-F-TVM-067</t>
  </si>
  <si>
    <t>TC-F-TVM-068</t>
  </si>
  <si>
    <t>TC-F-TVM-069</t>
  </si>
  <si>
    <t>TC-F-TVM-070</t>
  </si>
  <si>
    <t>TC-F-TVM-071</t>
  </si>
  <si>
    <t>TC-F-TVM-072</t>
  </si>
  <si>
    <t>TC-H-BMR-017</t>
  </si>
  <si>
    <t>TC-H-BMR-018</t>
  </si>
  <si>
    <t>TC-H-BMR-019</t>
  </si>
  <si>
    <t>TC-H-BMR-020</t>
  </si>
  <si>
    <t>TC-H-BMR-021</t>
  </si>
  <si>
    <t>TC-H-BMR-022</t>
  </si>
  <si>
    <t>TC-H-BMR-023</t>
  </si>
  <si>
    <t>TC-H-BMR-024</t>
  </si>
  <si>
    <t>TC-H-BMR-025</t>
  </si>
  <si>
    <t>TC-H-BMR-026</t>
  </si>
  <si>
    <t>TC-H-BMR-027</t>
  </si>
  <si>
    <t>TC-H-BMR-028</t>
  </si>
  <si>
    <t>TC-H-BMR-029</t>
  </si>
  <si>
    <t>TC-H-BMR-030</t>
  </si>
  <si>
    <t>TC-H-BF-031</t>
  </si>
  <si>
    <t>TC-H-BF-032</t>
  </si>
  <si>
    <t>TC-H-BF-033</t>
  </si>
  <si>
    <t>TC-H-BF-034</t>
  </si>
  <si>
    <t>TC-H-BF-035</t>
  </si>
  <si>
    <t>TC-H-BF-036</t>
  </si>
  <si>
    <t>TC-H-BF-037</t>
  </si>
  <si>
    <t>TC-H-BF-038</t>
  </si>
  <si>
    <t>TC-H-BF-039</t>
  </si>
  <si>
    <t>TC-H-BF-040</t>
  </si>
  <si>
    <t>TC-H-BF-041</t>
  </si>
  <si>
    <t>TC-H-BF-042</t>
  </si>
  <si>
    <t>TC-H-BF-043</t>
  </si>
  <si>
    <t>TC-H-BF-044</t>
  </si>
  <si>
    <t>TC-H-BF-045</t>
  </si>
  <si>
    <t>TC-H-BF-046</t>
  </si>
  <si>
    <t>TC-H-CAL-047</t>
  </si>
  <si>
    <t>TC-H-CAL-048</t>
  </si>
  <si>
    <t>TC-H-CAL-049</t>
  </si>
  <si>
    <t>TC-H-CAL-050</t>
  </si>
  <si>
    <t>TC-H-CAL-051</t>
  </si>
  <si>
    <t>TC-H-CAL-052</t>
  </si>
  <si>
    <t>TC-H-CAL-053</t>
  </si>
  <si>
    <t>TC-H-CAL-054</t>
  </si>
  <si>
    <t>TC-H-CAL-055</t>
  </si>
  <si>
    <t>TC-H-CAL-056</t>
  </si>
  <si>
    <t>TC-H-CAL-057</t>
  </si>
  <si>
    <t>TC-H-CAL-058</t>
  </si>
  <si>
    <t>TC-H-CAL-059</t>
  </si>
  <si>
    <t>TC-H-CAL-060</t>
  </si>
  <si>
    <t>Health - Body Fat</t>
  </si>
  <si>
    <t>Closed</t>
  </si>
  <si>
    <t>All Closed!</t>
  </si>
  <si>
    <t>Total</t>
  </si>
  <si>
    <t>Scope: All 9 Calculator Modes  |  Tool: Python 3.14.3 |  Method: Static Analysis + Dry-Run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</si>
</sst>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9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0"/>
      <color theme="1"/>
      <name val="Arial Unicode MS"/>
      <family val="2"/>
    </font>
    <font>
      <sz val="8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6"/>
      <color theme="0"/>
      <name val="Calibri"/>
      <family val="2"/>
    </font>
    <font>
      <sz val="12"/>
      <color theme="1"/>
      <name val="Calibri"/>
      <family val="2"/>
    </font>
    <font>
      <sz val="12"/>
      <color theme="0"/>
      <name val="Calibri"/>
      <family val="2"/>
    </font>
    <font>
      <b/>
      <sz val="11"/>
      <color rgb="FF27AE60"/>
      <name val="Calibri"/>
      <family val="2"/>
    </font>
    <font>
      <b/>
      <sz val="11"/>
      <color rgb="FFC0392B"/>
      <name val="Calibri"/>
      <family val="2"/>
    </font>
    <font>
      <sz val="11"/>
      <color rgb="FF000000"/>
      <name val="Calibri"/>
      <family val="2"/>
    </font>
    <font>
      <b/>
      <sz val="11"/>
      <color rgb="FFE67E22"/>
      <name val="Calibri"/>
      <family val="2"/>
    </font>
    <font>
      <b/>
      <sz val="11"/>
      <color rgb="FFF39C12"/>
      <name val="Calibri"/>
      <family val="2"/>
    </font>
    <font>
      <b/>
      <sz val="14"/>
      <color theme="0"/>
      <name val="Calibri"/>
      <family val="2"/>
    </font>
    <font>
      <sz val="10"/>
      <color theme="1"/>
      <name val="Calibri"/>
      <family val="2"/>
    </font>
    <font>
      <sz val="12"/>
      <color rgb="FF000000"/>
      <name val="Times"/>
    </font>
    <font>
      <sz val="13"/>
      <color rgb="FF000000"/>
      <name val="Times"/>
    </font>
    <font>
      <i/>
      <sz val="12"/>
      <color rgb="FF000000"/>
      <name val="Times"/>
    </font>
    <font>
      <sz val="12"/>
      <color rgb="FF000000"/>
      <name val="Times"/>
    </font>
    <font>
      <sz val="11"/>
      <color rgb="FF791F1F"/>
      <name val="Times"/>
    </font>
    <font>
      <sz val="11"/>
      <color rgb="FF633806"/>
      <name val="Times"/>
    </font>
    <font>
      <sz val="11"/>
      <color rgb="FF0C447C"/>
      <name val="Times"/>
    </font>
    <font>
      <sz val="11"/>
      <color rgb="FF27500A"/>
      <name val="Times"/>
    </font>
    <font>
      <sz val="11"/>
      <color rgb="FF000000"/>
      <name val="Times"/>
    </font>
    <font>
      <b/>
      <sz val="18"/>
      <color theme="0"/>
      <name val="Calibri"/>
      <family val="2"/>
    </font>
    <font>
      <b/>
      <sz val="20"/>
      <color theme="0"/>
      <name val="Calibri"/>
      <family val="2"/>
    </font>
    <font>
      <b/>
      <sz val="24"/>
      <color theme="0"/>
      <name val="Calibri"/>
      <family val="2"/>
    </font>
    <font>
      <i/>
      <sz val="16"/>
      <color theme="2" tint="-0.499984740745262"/>
      <name val="Calibri"/>
      <family val="2"/>
    </font>
    <font>
      <b/>
      <sz val="11"/>
      <color theme="5"/>
      <name val="Calibri"/>
      <family val="2"/>
    </font>
    <font>
      <b/>
      <sz val="10"/>
      <color rgb="FFC0392B"/>
      <name val="Calibri"/>
      <family val="2"/>
    </font>
    <font>
      <b/>
      <sz val="12"/>
      <color rgb="FFC0392B"/>
      <name val="Calibri"/>
      <family val="2"/>
    </font>
    <font>
      <b/>
      <sz val="10"/>
      <color theme="5"/>
      <name val="Calibri"/>
      <family val="2"/>
    </font>
    <font>
      <b/>
      <sz val="12"/>
      <color theme="5"/>
      <name val="Calibri"/>
      <family val="2"/>
    </font>
    <font>
      <b/>
      <sz val="16"/>
      <color theme="0"/>
      <name val="Calibri Bold"/>
    </font>
    <font>
      <sz val="12"/>
      <color theme="0"/>
      <name val="Calibri Bold"/>
    </font>
    <font>
      <b/>
      <sz val="18"/>
      <color theme="1"/>
      <name val="Calibri"/>
      <family val="2"/>
    </font>
    <font>
      <b/>
      <sz val="11"/>
      <color rgb="FFD26B00"/>
      <name val="Calibri"/>
      <family val="2"/>
    </font>
    <font>
      <b/>
      <sz val="11"/>
      <color theme="9" tint="-0.249977111117893"/>
      <name val="Calibri"/>
      <family val="2"/>
    </font>
  </fonts>
  <fills count="1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ADBD8"/>
      </patternFill>
    </fill>
    <fill>
      <patternFill patternType="solid">
        <fgColor rgb="FFFEF9E7"/>
      </patternFill>
    </fill>
    <fill>
      <patternFill patternType="solid">
        <fgColor rgb="FFD5F5E3"/>
      </patternFill>
    </fill>
    <fill>
      <patternFill patternType="solid">
        <fgColor rgb="FFFAE5D3"/>
      </patternFill>
    </fill>
    <fill>
      <patternFill patternType="solid">
        <fgColor rgb="FFFEFBD8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DABB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9E87D"/>
        <bgColor indexed="64"/>
      </patternFill>
    </fill>
    <fill>
      <patternFill patternType="solid">
        <fgColor theme="0"/>
        <bgColor indexed="64"/>
      </patternFill>
    </fill>
  </fills>
  <borders count="110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  <border>
      <left style="thin">
        <color theme="2" tint="-9.9978637043366805E-2"/>
      </left>
      <right/>
      <top/>
      <bottom/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/>
      <top/>
      <bottom style="thin">
        <color theme="2" tint="-9.9978637043366805E-2"/>
      </bottom>
      <diagonal/>
    </border>
    <border>
      <left/>
      <right/>
      <top/>
      <bottom style="thin">
        <color theme="2" tint="-9.9978637043366805E-2"/>
      </bottom>
      <diagonal/>
    </border>
    <border>
      <left/>
      <right style="thin">
        <color theme="2" tint="-9.9978637043366805E-2"/>
      </right>
      <top/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medium">
        <color theme="2" tint="-0.749992370372631"/>
      </left>
      <right/>
      <top style="medium">
        <color theme="2" tint="-0.749992370372631"/>
      </top>
      <bottom style="medium">
        <color theme="2" tint="-0.749992370372631"/>
      </bottom>
      <diagonal/>
    </border>
    <border>
      <left/>
      <right/>
      <top style="medium">
        <color theme="2" tint="-0.749992370372631"/>
      </top>
      <bottom style="medium">
        <color theme="2" tint="-0.749992370372631"/>
      </bottom>
      <diagonal/>
    </border>
    <border>
      <left/>
      <right style="medium">
        <color theme="2" tint="-0.749992370372631"/>
      </right>
      <top style="medium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/>
      <bottom style="thin">
        <color theme="2" tint="-0.249977111117893"/>
      </bottom>
      <diagonal/>
    </border>
    <border>
      <left style="medium">
        <color theme="2" tint="-0.749992370372631"/>
      </left>
      <right style="thin">
        <color theme="2" tint="-0.249977111117893"/>
      </right>
      <top style="medium">
        <color theme="2" tint="-0.749992370372631"/>
      </top>
      <bottom style="thin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 style="medium">
        <color theme="2" tint="-0.749992370372631"/>
      </top>
      <bottom style="thin">
        <color theme="2" tint="-0.249977111117893"/>
      </bottom>
      <diagonal/>
    </border>
    <border>
      <left style="thin">
        <color theme="2" tint="-0.249977111117893"/>
      </left>
      <right style="medium">
        <color theme="2" tint="-0.749992370372631"/>
      </right>
      <top style="medium">
        <color theme="2" tint="-0.749992370372631"/>
      </top>
      <bottom style="thin">
        <color theme="2" tint="-0.249977111117893"/>
      </bottom>
      <diagonal/>
    </border>
    <border>
      <left style="medium">
        <color theme="2" tint="-0.749992370372631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 style="medium">
        <color theme="2" tint="-0.749992370372631"/>
      </right>
      <top style="thin">
        <color theme="2" tint="-0.249977111117893"/>
      </top>
      <bottom style="thin">
        <color theme="2" tint="-0.249977111117893"/>
      </bottom>
      <diagonal/>
    </border>
    <border>
      <left style="medium">
        <color theme="2" tint="-0.749992370372631"/>
      </left>
      <right style="thin">
        <color theme="2" tint="-0.249977111117893"/>
      </right>
      <top style="thin">
        <color theme="2" tint="-0.249977111117893"/>
      </top>
      <bottom style="medium">
        <color theme="2" tint="-0.749992370372631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medium">
        <color theme="2" tint="-0.749992370372631"/>
      </bottom>
      <diagonal/>
    </border>
    <border>
      <left style="thin">
        <color theme="2" tint="-0.249977111117893"/>
      </left>
      <right style="medium">
        <color theme="2" tint="-0.749992370372631"/>
      </right>
      <top style="thin">
        <color theme="2" tint="-0.249977111117893"/>
      </top>
      <bottom style="medium">
        <color theme="2" tint="-0.749992370372631"/>
      </bottom>
      <diagonal/>
    </border>
    <border>
      <left/>
      <right style="thin">
        <color theme="2" tint="-0.749992370372631"/>
      </right>
      <top style="medium">
        <color theme="2" tint="-0.749992370372631"/>
      </top>
      <bottom/>
      <diagonal/>
    </border>
    <border>
      <left/>
      <right style="thin">
        <color theme="2" tint="-0.249977111117893"/>
      </right>
      <top style="medium">
        <color theme="2" tint="-0.749992370372631"/>
      </top>
      <bottom style="thin">
        <color theme="2" tint="-0.249977111117893"/>
      </bottom>
      <diagonal/>
    </border>
    <border>
      <left/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/>
      <right style="thin">
        <color theme="2" tint="-0.249977111117893"/>
      </right>
      <top style="thin">
        <color theme="2" tint="-0.249977111117893"/>
      </top>
      <bottom style="medium">
        <color theme="2" tint="-0.749992370372631"/>
      </bottom>
      <diagonal/>
    </border>
    <border>
      <left style="medium">
        <color theme="2" tint="-0.749992370372631"/>
      </left>
      <right/>
      <top style="medium">
        <color theme="2" tint="-0.749992370372631"/>
      </top>
      <bottom style="thin">
        <color theme="2" tint="-0.249977111117893"/>
      </bottom>
      <diagonal/>
    </border>
    <border>
      <left style="medium">
        <color theme="2" tint="-0.749992370372631"/>
      </left>
      <right/>
      <top style="thin">
        <color theme="2" tint="-0.249977111117893"/>
      </top>
      <bottom style="thin">
        <color theme="2" tint="-0.249977111117893"/>
      </bottom>
      <diagonal/>
    </border>
    <border>
      <left style="medium">
        <color theme="2" tint="-0.749992370372631"/>
      </left>
      <right/>
      <top style="thin">
        <color theme="2" tint="-0.249977111117893"/>
      </top>
      <bottom style="medium">
        <color theme="2" tint="-0.749992370372631"/>
      </bottom>
      <diagonal/>
    </border>
    <border>
      <left style="medium">
        <color theme="2" tint="-0.749992370372631"/>
      </left>
      <right style="medium">
        <color theme="2" tint="-0.749992370372631"/>
      </right>
      <top style="medium">
        <color theme="2" tint="-0.749992370372631"/>
      </top>
      <bottom/>
      <diagonal/>
    </border>
    <border>
      <left style="medium">
        <color theme="2" tint="-0.749992370372631"/>
      </left>
      <right style="medium">
        <color theme="2" tint="-0.749992370372631"/>
      </right>
      <top/>
      <bottom/>
      <diagonal/>
    </border>
    <border>
      <left style="medium">
        <color theme="2" tint="-0.749992370372631"/>
      </left>
      <right style="medium">
        <color theme="2" tint="-0.749992370372631"/>
      </right>
      <top/>
      <bottom style="thin">
        <color indexed="64"/>
      </bottom>
      <diagonal/>
    </border>
    <border>
      <left style="medium">
        <color theme="2" tint="-0.749992370372631"/>
      </left>
      <right style="medium">
        <color theme="2" tint="-0.749992370372631"/>
      </right>
      <top style="thin">
        <color indexed="64"/>
      </top>
      <bottom/>
      <diagonal/>
    </border>
    <border>
      <left style="medium">
        <color theme="2" tint="-0.749992370372631"/>
      </left>
      <right style="medium">
        <color theme="2" tint="-0.749992370372631"/>
      </right>
      <top/>
      <bottom style="medium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249977111117893"/>
      </top>
      <bottom/>
      <diagonal/>
    </border>
    <border>
      <left/>
      <right style="thin">
        <color theme="2" tint="-0.249977111117893"/>
      </right>
      <top style="thin">
        <color theme="2" tint="-0.249977111117893"/>
      </top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/>
      <diagonal/>
    </border>
    <border>
      <left style="thin">
        <color theme="2" tint="-0.249977111117893"/>
      </left>
      <right style="medium">
        <color theme="2" tint="-0.749992370372631"/>
      </right>
      <top style="thin">
        <color theme="2" tint="-0.249977111117893"/>
      </top>
      <bottom/>
      <diagonal/>
    </border>
    <border>
      <left style="medium">
        <color theme="2" tint="-0.749992370372631"/>
      </left>
      <right/>
      <top/>
      <bottom style="thin">
        <color theme="2" tint="-0.249977111117893"/>
      </bottom>
      <diagonal/>
    </border>
    <border>
      <left/>
      <right style="thin">
        <color theme="2" tint="-0.249977111117893"/>
      </right>
      <top/>
      <bottom style="thin">
        <color theme="2" tint="-0.249977111117893"/>
      </bottom>
      <diagonal/>
    </border>
    <border>
      <left style="thin">
        <color theme="2" tint="-0.249977111117893"/>
      </left>
      <right style="medium">
        <color theme="2" tint="-0.749992370372631"/>
      </right>
      <top/>
      <bottom style="thin">
        <color theme="2" tint="-0.249977111117893"/>
      </bottom>
      <diagonal/>
    </border>
    <border>
      <left style="medium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indexed="64"/>
      </bottom>
      <diagonal/>
    </border>
    <border>
      <left style="medium">
        <color theme="2" tint="-0.749992370372631"/>
      </left>
      <right style="medium">
        <color theme="2" tint="-0.749992370372631"/>
      </right>
      <top style="thin">
        <color indexed="64"/>
      </top>
      <bottom style="thin">
        <color indexed="64"/>
      </bottom>
      <diagonal/>
    </border>
    <border>
      <left style="medium">
        <color theme="2" tint="-0.749992370372631"/>
      </left>
      <right style="medium">
        <color theme="2" tint="-0.749992370372631"/>
      </right>
      <top style="thin">
        <color indexed="64"/>
      </top>
      <bottom style="medium">
        <color theme="2" tint="-0.749992370372631"/>
      </bottom>
      <diagonal/>
    </border>
    <border>
      <left/>
      <right/>
      <top style="medium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249977111117893"/>
      </right>
      <top style="thin">
        <color theme="2" tint="-0.249977111117893"/>
      </top>
      <bottom/>
      <diagonal/>
    </border>
    <border>
      <left style="medium">
        <color theme="2" tint="-0.749992370372631"/>
      </left>
      <right style="thin">
        <color theme="2" tint="-0.249977111117893"/>
      </right>
      <top/>
      <bottom style="thin">
        <color theme="2" tint="-0.249977111117893"/>
      </bottom>
      <diagonal/>
    </border>
    <border>
      <left style="medium">
        <color theme="2" tint="-0.749992370372631"/>
      </left>
      <right style="thin">
        <color theme="2" tint="-9.9978637043366805E-2"/>
      </right>
      <top style="medium">
        <color theme="2" tint="-0.749992370372631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medium">
        <color theme="2" tint="-0.749992370372631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medium">
        <color theme="2" tint="-0.749992370372631"/>
      </right>
      <top style="medium">
        <color theme="2" tint="-0.749992370372631"/>
      </top>
      <bottom style="thin">
        <color theme="2" tint="-9.9978637043366805E-2"/>
      </bottom>
      <diagonal/>
    </border>
    <border>
      <left style="medium">
        <color theme="2" tint="-0.749992370372631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medium">
        <color theme="2" tint="-0.749992370372631"/>
      </right>
      <top style="thin">
        <color theme="2" tint="-9.9978637043366805E-2"/>
      </top>
      <bottom style="thin">
        <color theme="2" tint="-9.9978637043366805E-2"/>
      </bottom>
      <diagonal/>
    </border>
    <border>
      <left style="medium">
        <color theme="2" tint="-0.749992370372631"/>
      </left>
      <right style="thin">
        <color theme="2" tint="-9.9978637043366805E-2"/>
      </right>
      <top style="thin">
        <color theme="2" tint="-9.9978637043366805E-2"/>
      </top>
      <bottom style="medium">
        <color theme="2" tint="-0.749992370372631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medium">
        <color theme="2" tint="-0.749992370372631"/>
      </bottom>
      <diagonal/>
    </border>
    <border>
      <left style="thin">
        <color theme="2" tint="-9.9978637043366805E-2"/>
      </left>
      <right style="medium">
        <color theme="2" tint="-0.749992370372631"/>
      </right>
      <top style="thin">
        <color theme="2" tint="-9.9978637043366805E-2"/>
      </top>
      <bottom style="medium">
        <color theme="2" tint="-0.749992370372631"/>
      </bottom>
      <diagonal/>
    </border>
    <border>
      <left style="thin">
        <color rgb="FFBDC3C7"/>
      </left>
      <right style="thin">
        <color rgb="FFBDC3C7"/>
      </right>
      <top style="medium">
        <color theme="2" tint="-0.749992370372631"/>
      </top>
      <bottom style="thin">
        <color rgb="FFBDC3C7"/>
      </bottom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medium">
        <color theme="2" tint="-0.749992370372631"/>
      </bottom>
      <diagonal/>
    </border>
    <border>
      <left style="thin">
        <color theme="2" tint="-0.249977111117893"/>
      </left>
      <right style="thin">
        <color theme="2" tint="-0.249977111117893"/>
      </right>
      <top style="medium">
        <color theme="2" tint="-0.749992370372631"/>
      </top>
      <bottom style="medium">
        <color theme="2" tint="-0.749992370372631"/>
      </bottom>
      <diagonal/>
    </border>
    <border>
      <left style="thin">
        <color theme="2" tint="-0.249977111117893"/>
      </left>
      <right style="medium">
        <color theme="2" tint="-0.749992370372631"/>
      </right>
      <top style="medium">
        <color theme="2" tint="-0.749992370372631"/>
      </top>
      <bottom style="medium">
        <color theme="2" tint="-0.749992370372631"/>
      </bottom>
      <diagonal/>
    </border>
    <border>
      <left/>
      <right style="thin">
        <color theme="2" tint="-0.249977111117893"/>
      </right>
      <top style="medium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 style="thin">
        <color rgb="FFBDC3C7"/>
      </right>
      <top style="thin">
        <color rgb="FFBDC3C7"/>
      </top>
      <bottom style="thin">
        <color rgb="FFBDC3C7"/>
      </bottom>
      <diagonal/>
    </border>
    <border>
      <left style="thin">
        <color rgb="FFBDC3C7"/>
      </left>
      <right style="medium">
        <color theme="2" tint="-0.749992370372631"/>
      </right>
      <top style="thin">
        <color rgb="FFBDC3C7"/>
      </top>
      <bottom style="thin">
        <color rgb="FFBDC3C7"/>
      </bottom>
      <diagonal/>
    </border>
    <border>
      <left style="medium">
        <color theme="2" tint="-0.749992370372631"/>
      </left>
      <right style="thin">
        <color rgb="FFBDC3C7"/>
      </right>
      <top style="thin">
        <color rgb="FFBDC3C7"/>
      </top>
      <bottom style="medium">
        <color theme="2" tint="-0.749992370372631"/>
      </bottom>
      <diagonal/>
    </border>
    <border>
      <left style="thin">
        <color rgb="FFBDC3C7"/>
      </left>
      <right style="medium">
        <color theme="2" tint="-0.749992370372631"/>
      </right>
      <top style="thin">
        <color rgb="FFBDC3C7"/>
      </top>
      <bottom style="medium">
        <color theme="2" tint="-0.749992370372631"/>
      </bottom>
      <diagonal/>
    </border>
    <border>
      <left style="medium">
        <color theme="2" tint="-0.749992370372631"/>
      </left>
      <right style="thin">
        <color rgb="FFBDC3C7"/>
      </right>
      <top style="thin">
        <color rgb="FFBDC3C7"/>
      </top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/>
      <diagonal/>
    </border>
    <border>
      <left style="thin">
        <color rgb="FFBDC3C7"/>
      </left>
      <right style="medium">
        <color theme="2" tint="-0.749992370372631"/>
      </right>
      <top style="thin">
        <color rgb="FFBDC3C7"/>
      </top>
      <bottom/>
      <diagonal/>
    </border>
    <border>
      <left style="medium">
        <color theme="2" tint="-0.749992370372631"/>
      </left>
      <right style="thin">
        <color rgb="FFBDC3C7"/>
      </right>
      <top style="medium">
        <color theme="2" tint="-0.749992370372631"/>
      </top>
      <bottom style="medium">
        <color theme="2" tint="-0.749992370372631"/>
      </bottom>
      <diagonal/>
    </border>
    <border>
      <left style="thin">
        <color rgb="FFBDC3C7"/>
      </left>
      <right style="thin">
        <color rgb="FFBDC3C7"/>
      </right>
      <top style="medium">
        <color theme="2" tint="-0.749992370372631"/>
      </top>
      <bottom style="medium">
        <color theme="2" tint="-0.749992370372631"/>
      </bottom>
      <diagonal/>
    </border>
    <border>
      <left style="thin">
        <color rgb="FFBDC3C7"/>
      </left>
      <right style="medium">
        <color theme="2" tint="-0.749992370372631"/>
      </right>
      <top style="medium">
        <color theme="2" tint="-0.749992370372631"/>
      </top>
      <bottom style="medium">
        <color theme="2" tint="-0.749992370372631"/>
      </bottom>
      <diagonal/>
    </border>
    <border>
      <left style="thin">
        <color rgb="FFBDC3C7"/>
      </left>
      <right/>
      <top style="medium">
        <color theme="2" tint="-0.749992370372631"/>
      </top>
      <bottom style="thin">
        <color rgb="FFBDC3C7"/>
      </bottom>
      <diagonal/>
    </border>
    <border>
      <left/>
      <right/>
      <top style="medium">
        <color theme="2" tint="-0.749992370372631"/>
      </top>
      <bottom style="thin">
        <color rgb="FFBDC3C7"/>
      </bottom>
      <diagonal/>
    </border>
    <border>
      <left style="thin">
        <color rgb="FFBDC3C7"/>
      </left>
      <right/>
      <top style="thin">
        <color rgb="FFBDC3C7"/>
      </top>
      <bottom style="thin">
        <color rgb="FFBDC3C7"/>
      </bottom>
      <diagonal/>
    </border>
    <border>
      <left/>
      <right/>
      <top style="thin">
        <color rgb="FFBDC3C7"/>
      </top>
      <bottom style="thin">
        <color rgb="FFBDC3C7"/>
      </bottom>
      <diagonal/>
    </border>
    <border>
      <left/>
      <right style="thin">
        <color rgb="FFBDC3C7"/>
      </right>
      <top style="thin">
        <color rgb="FFBDC3C7"/>
      </top>
      <bottom style="thin">
        <color rgb="FFBDC3C7"/>
      </bottom>
      <diagonal/>
    </border>
    <border>
      <left style="thin">
        <color rgb="FFBDC3C7"/>
      </left>
      <right/>
      <top/>
      <bottom style="thin">
        <color rgb="FFBDC3C7"/>
      </bottom>
      <diagonal/>
    </border>
    <border>
      <left/>
      <right/>
      <top/>
      <bottom style="thin">
        <color rgb="FFBDC3C7"/>
      </bottom>
      <diagonal/>
    </border>
    <border>
      <left/>
      <right style="thin">
        <color rgb="FFBDC3C7"/>
      </right>
      <top/>
      <bottom style="thin">
        <color rgb="FFBDC3C7"/>
      </bottom>
      <diagonal/>
    </border>
    <border>
      <left style="thin">
        <color theme="2" tint="-0.749992370372631"/>
      </left>
      <right/>
      <top style="medium">
        <color theme="2" tint="-0.749992370372631"/>
      </top>
      <bottom/>
      <diagonal/>
    </border>
    <border>
      <left style="medium">
        <color theme="2" tint="-0.749992370372631"/>
      </left>
      <right style="thin">
        <color rgb="FFBDC3C7"/>
      </right>
      <top style="medium">
        <color theme="2" tint="-0.749992370372631"/>
      </top>
      <bottom style="thin">
        <color rgb="FFBDC3C7"/>
      </bottom>
      <diagonal/>
    </border>
    <border>
      <left style="thin">
        <color rgb="FFBDC3C7"/>
      </left>
      <right style="medium">
        <color theme="2" tint="-0.749992370372631"/>
      </right>
      <top style="medium">
        <color theme="2" tint="-0.749992370372631"/>
      </top>
      <bottom style="thin">
        <color rgb="FFBDC3C7"/>
      </bottom>
      <diagonal/>
    </border>
    <border>
      <left style="thin">
        <color rgb="FFBDC3C7"/>
      </left>
      <right/>
      <top style="thin">
        <color rgb="FFBDC3C7"/>
      </top>
      <bottom style="medium">
        <color theme="2" tint="-0.749992370372631"/>
      </bottom>
      <diagonal/>
    </border>
    <border>
      <left/>
      <right/>
      <top style="thin">
        <color rgb="FFBDC3C7"/>
      </top>
      <bottom style="medium">
        <color theme="2" tint="-0.749992370372631"/>
      </bottom>
      <diagonal/>
    </border>
    <border>
      <left/>
      <right style="thin">
        <color rgb="FFBDC3C7"/>
      </right>
      <top style="thin">
        <color rgb="FFBDC3C7"/>
      </top>
      <bottom style="medium">
        <color theme="2" tint="-0.749992370372631"/>
      </bottom>
      <diagonal/>
    </border>
    <border>
      <left style="medium">
        <color theme="2" tint="-0.749992370372631"/>
      </left>
      <right style="thin">
        <color theme="2" tint="-9.9978637043366805E-2"/>
      </right>
      <top style="medium">
        <color theme="2" tint="-0.749992370372631"/>
      </top>
      <bottom/>
      <diagonal/>
    </border>
    <border>
      <left style="thin">
        <color theme="2" tint="-9.9978637043366805E-2"/>
      </left>
      <right style="thin">
        <color theme="2" tint="-9.9978637043366805E-2"/>
      </right>
      <top style="medium">
        <color theme="2" tint="-0.749992370372631"/>
      </top>
      <bottom/>
      <diagonal/>
    </border>
    <border>
      <left style="thin">
        <color theme="2" tint="-9.9978637043366805E-2"/>
      </left>
      <right style="medium">
        <color theme="2" tint="-0.749992370372631"/>
      </right>
      <top style="medium">
        <color theme="2" tint="-0.749992370372631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2" tint="-0.249977111117893"/>
      </right>
      <top style="medium">
        <color indexed="64"/>
      </top>
      <bottom style="thin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 style="medium">
        <color indexed="64"/>
      </top>
      <bottom style="thin">
        <color theme="2" tint="-0.249977111117893"/>
      </bottom>
      <diagonal/>
    </border>
    <border>
      <left style="thin">
        <color theme="2" tint="-0.249977111117893"/>
      </left>
      <right style="medium">
        <color indexed="64"/>
      </right>
      <top style="medium">
        <color indexed="64"/>
      </top>
      <bottom style="thin">
        <color theme="2" tint="-0.249977111117893"/>
      </bottom>
      <diagonal/>
    </border>
    <border>
      <left style="medium">
        <color indexed="64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 style="medium">
        <color indexed="64"/>
      </right>
      <top style="thin">
        <color theme="2" tint="-0.249977111117893"/>
      </top>
      <bottom style="thin">
        <color theme="2" tint="-0.249977111117893"/>
      </bottom>
      <diagonal/>
    </border>
    <border>
      <left style="medium">
        <color indexed="64"/>
      </left>
      <right style="thin">
        <color theme="2" tint="-0.249977111117893"/>
      </right>
      <top style="thin">
        <color theme="2" tint="-0.249977111117893"/>
      </top>
      <bottom style="medium">
        <color indexed="64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medium">
        <color indexed="64"/>
      </bottom>
      <diagonal/>
    </border>
    <border>
      <left style="thin">
        <color theme="2" tint="-0.249977111117893"/>
      </left>
      <right style="medium">
        <color indexed="64"/>
      </right>
      <top style="thin">
        <color theme="2" tint="-0.249977111117893"/>
      </top>
      <bottom style="medium">
        <color indexed="64"/>
      </bottom>
      <diagonal/>
    </border>
    <border>
      <left style="medium">
        <color theme="2" tint="-0.749992370372631"/>
      </left>
      <right/>
      <top style="medium">
        <color theme="2" tint="-0.749992370372631"/>
      </top>
      <bottom/>
      <diagonal/>
    </border>
    <border>
      <left/>
      <right style="medium">
        <color theme="2" tint="-0.749992370372631"/>
      </right>
      <top style="medium">
        <color theme="2" tint="-0.749992370372631"/>
      </top>
      <bottom/>
      <diagonal/>
    </border>
    <border>
      <left style="medium">
        <color indexed="64"/>
      </left>
      <right style="thin">
        <color theme="2" tint="-0.749992370372631"/>
      </right>
      <top style="medium">
        <color indexed="64"/>
      </top>
      <bottom style="medium">
        <color indexed="64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indexed="64"/>
      </top>
      <bottom style="medium">
        <color indexed="64"/>
      </bottom>
      <diagonal/>
    </border>
    <border>
      <left style="thin">
        <color theme="2" tint="-0.74999237037263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2" tint="-9.9978637043366805E-2"/>
      </right>
      <top style="medium">
        <color indexed="64"/>
      </top>
      <bottom style="medium">
        <color indexed="64"/>
      </bottom>
      <diagonal/>
    </border>
    <border>
      <left style="medium">
        <color theme="2" tint="-0.74999237037263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theme="2" tint="-0.749992370372631"/>
      </left>
      <right style="thin">
        <color theme="2" tint="-9.9978637043366805E-2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9" fontId="4" fillId="0" borderId="0" applyFont="0" applyFill="0" applyBorder="0" applyAlignment="0" applyProtection="0"/>
    <xf numFmtId="0" fontId="4" fillId="0" borderId="0"/>
  </cellStyleXfs>
  <cellXfs count="262">
    <xf numFmtId="0" fontId="0" fillId="0" borderId="0" xfId="0"/>
    <xf numFmtId="0" fontId="0" fillId="0" borderId="0" xfId="0" applyAlignment="1">
      <alignment horizontal="center" vertical="center"/>
    </xf>
    <xf numFmtId="0" fontId="10" fillId="3" borderId="1" xfId="0" applyFont="1" applyFill="1" applyBorder="1" applyAlignment="1">
      <alignment horizontal="center" vertical="center" wrapText="1"/>
    </xf>
    <xf numFmtId="0" fontId="8" fillId="8" borderId="14" xfId="0" applyFont="1" applyFill="1" applyBorder="1" applyAlignment="1">
      <alignment horizontal="center" vertical="center"/>
    </xf>
    <xf numFmtId="0" fontId="8" fillId="8" borderId="15" xfId="0" applyFont="1" applyFill="1" applyBorder="1" applyAlignment="1">
      <alignment horizontal="center" vertical="center"/>
    </xf>
    <xf numFmtId="0" fontId="8" fillId="8" borderId="16" xfId="0" applyFont="1" applyFill="1" applyBorder="1" applyAlignment="1">
      <alignment horizontal="center" vertical="center"/>
    </xf>
    <xf numFmtId="0" fontId="8" fillId="8" borderId="27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11" borderId="22" xfId="0" applyFont="1" applyFill="1" applyBorder="1" applyAlignment="1">
      <alignment horizontal="center" vertical="center"/>
    </xf>
    <xf numFmtId="0" fontId="7" fillId="11" borderId="29" xfId="0" applyFont="1" applyFill="1" applyBorder="1" applyAlignment="1">
      <alignment horizontal="center" vertical="center"/>
    </xf>
    <xf numFmtId="0" fontId="7" fillId="11" borderId="17" xfId="0" applyFont="1" applyFill="1" applyBorder="1" applyAlignment="1">
      <alignment horizontal="center" vertical="center"/>
    </xf>
    <xf numFmtId="0" fontId="7" fillId="11" borderId="23" xfId="0" applyFont="1" applyFill="1" applyBorder="1" applyAlignment="1">
      <alignment horizontal="center" vertical="center"/>
    </xf>
    <xf numFmtId="0" fontId="7" fillId="12" borderId="19" xfId="0" applyFont="1" applyFill="1" applyBorder="1" applyAlignment="1">
      <alignment horizontal="center" vertical="center"/>
    </xf>
    <xf numFmtId="0" fontId="7" fillId="12" borderId="28" xfId="0" applyFont="1" applyFill="1" applyBorder="1" applyAlignment="1">
      <alignment horizontal="center" vertical="center"/>
    </xf>
    <xf numFmtId="0" fontId="7" fillId="12" borderId="20" xfId="0" applyFont="1" applyFill="1" applyBorder="1" applyAlignment="1">
      <alignment horizontal="center" vertical="center"/>
    </xf>
    <xf numFmtId="0" fontId="7" fillId="12" borderId="21" xfId="0" applyFont="1" applyFill="1" applyBorder="1" applyAlignment="1">
      <alignment horizontal="center" vertical="center"/>
    </xf>
    <xf numFmtId="0" fontId="7" fillId="12" borderId="22" xfId="0" applyFont="1" applyFill="1" applyBorder="1" applyAlignment="1">
      <alignment horizontal="center" vertical="center"/>
    </xf>
    <xf numFmtId="0" fontId="7" fillId="12" borderId="29" xfId="0" applyFont="1" applyFill="1" applyBorder="1" applyAlignment="1">
      <alignment horizontal="center" vertical="center"/>
    </xf>
    <xf numFmtId="0" fontId="7" fillId="12" borderId="17" xfId="0" applyFont="1" applyFill="1" applyBorder="1" applyAlignment="1">
      <alignment horizontal="center" vertical="center"/>
    </xf>
    <xf numFmtId="0" fontId="7" fillId="12" borderId="23" xfId="0" applyFont="1" applyFill="1" applyBorder="1" applyAlignment="1">
      <alignment horizontal="center" vertical="center"/>
    </xf>
    <xf numFmtId="0" fontId="7" fillId="12" borderId="24" xfId="0" applyFont="1" applyFill="1" applyBorder="1" applyAlignment="1">
      <alignment horizontal="center" vertical="center"/>
    </xf>
    <xf numFmtId="0" fontId="7" fillId="12" borderId="30" xfId="0" applyFont="1" applyFill="1" applyBorder="1" applyAlignment="1">
      <alignment horizontal="center" vertical="center"/>
    </xf>
    <xf numFmtId="0" fontId="7" fillId="12" borderId="25" xfId="0" applyFont="1" applyFill="1" applyBorder="1" applyAlignment="1">
      <alignment horizontal="center" vertical="center"/>
    </xf>
    <xf numFmtId="0" fontId="7" fillId="12" borderId="26" xfId="0" applyFont="1" applyFill="1" applyBorder="1" applyAlignment="1">
      <alignment horizontal="center" vertical="center"/>
    </xf>
    <xf numFmtId="49" fontId="15" fillId="12" borderId="17" xfId="0" applyNumberFormat="1" applyFont="1" applyFill="1" applyBorder="1" applyAlignment="1">
      <alignment horizontal="center" vertical="center" wrapText="1"/>
    </xf>
    <xf numFmtId="0" fontId="4" fillId="12" borderId="17" xfId="2" applyFill="1" applyBorder="1" applyAlignment="1">
      <alignment horizontal="center" vertical="center" wrapText="1"/>
    </xf>
    <xf numFmtId="49" fontId="4" fillId="12" borderId="17" xfId="2" applyNumberFormat="1" applyFill="1" applyBorder="1" applyAlignment="1">
      <alignment horizontal="center" vertical="center" wrapText="1"/>
    </xf>
    <xf numFmtId="49" fontId="7" fillId="12" borderId="17" xfId="0" applyNumberFormat="1" applyFont="1" applyFill="1" applyBorder="1" applyAlignment="1">
      <alignment horizontal="center" vertical="center" wrapText="1"/>
    </xf>
    <xf numFmtId="49" fontId="7" fillId="11" borderId="17" xfId="0" applyNumberFormat="1" applyFont="1" applyFill="1" applyBorder="1" applyAlignment="1">
      <alignment horizontal="center" vertical="center" wrapText="1"/>
    </xf>
    <xf numFmtId="0" fontId="4" fillId="11" borderId="17" xfId="2" applyFill="1" applyBorder="1" applyAlignment="1">
      <alignment horizontal="center" vertical="center" wrapText="1"/>
    </xf>
    <xf numFmtId="49" fontId="15" fillId="12" borderId="20" xfId="0" applyNumberFormat="1" applyFont="1" applyFill="1" applyBorder="1" applyAlignment="1">
      <alignment horizontal="center" vertical="center" wrapText="1"/>
    </xf>
    <xf numFmtId="0" fontId="4" fillId="12" borderId="20" xfId="2" applyFill="1" applyBorder="1" applyAlignment="1">
      <alignment horizontal="center" vertical="center" wrapText="1"/>
    </xf>
    <xf numFmtId="49" fontId="7" fillId="12" borderId="25" xfId="0" applyNumberFormat="1" applyFont="1" applyFill="1" applyBorder="1" applyAlignment="1">
      <alignment horizontal="center" vertical="center" wrapText="1"/>
    </xf>
    <xf numFmtId="0" fontId="4" fillId="12" borderId="25" xfId="2" applyFill="1" applyBorder="1" applyAlignment="1">
      <alignment horizontal="center" vertical="center" wrapText="1"/>
    </xf>
    <xf numFmtId="0" fontId="15" fillId="12" borderId="25" xfId="2" applyFont="1" applyFill="1" applyBorder="1" applyAlignment="1">
      <alignment horizontal="center" vertical="center" wrapText="1"/>
    </xf>
    <xf numFmtId="0" fontId="15" fillId="12" borderId="17" xfId="2" applyFont="1" applyFill="1" applyBorder="1" applyAlignment="1">
      <alignment horizontal="center" vertical="center" wrapText="1"/>
    </xf>
    <xf numFmtId="0" fontId="7" fillId="12" borderId="22" xfId="2" applyFont="1" applyFill="1" applyBorder="1" applyAlignment="1">
      <alignment horizontal="center" vertical="center" wrapText="1"/>
    </xf>
    <xf numFmtId="0" fontId="7" fillId="12" borderId="17" xfId="2" applyFont="1" applyFill="1" applyBorder="1" applyAlignment="1">
      <alignment horizontal="center" vertical="center" wrapText="1"/>
    </xf>
    <xf numFmtId="11" fontId="15" fillId="12" borderId="17" xfId="2" applyNumberFormat="1" applyFont="1" applyFill="1" applyBorder="1" applyAlignment="1">
      <alignment horizontal="center" vertical="center" wrapText="1"/>
    </xf>
    <xf numFmtId="0" fontId="7" fillId="11" borderId="22" xfId="2" applyFont="1" applyFill="1" applyBorder="1" applyAlignment="1">
      <alignment horizontal="center" vertical="center" wrapText="1"/>
    </xf>
    <xf numFmtId="0" fontId="7" fillId="11" borderId="17" xfId="2" applyFont="1" applyFill="1" applyBorder="1" applyAlignment="1">
      <alignment horizontal="center" vertical="center" wrapText="1"/>
    </xf>
    <xf numFmtId="0" fontId="15" fillId="11" borderId="17" xfId="2" applyFont="1" applyFill="1" applyBorder="1" applyAlignment="1">
      <alignment horizontal="center" vertical="center" wrapText="1"/>
    </xf>
    <xf numFmtId="0" fontId="7" fillId="12" borderId="31" xfId="0" applyFont="1" applyFill="1" applyBorder="1" applyAlignment="1">
      <alignment horizontal="center" vertical="center"/>
    </xf>
    <xf numFmtId="0" fontId="7" fillId="12" borderId="32" xfId="0" applyFont="1" applyFill="1" applyBorder="1" applyAlignment="1">
      <alignment horizontal="center" vertical="center"/>
    </xf>
    <xf numFmtId="0" fontId="7" fillId="11" borderId="32" xfId="0" applyFont="1" applyFill="1" applyBorder="1" applyAlignment="1">
      <alignment horizontal="center" vertical="center"/>
    </xf>
    <xf numFmtId="0" fontId="7" fillId="12" borderId="33" xfId="0" applyFont="1" applyFill="1" applyBorder="1" applyAlignment="1">
      <alignment horizontal="center" vertical="center"/>
    </xf>
    <xf numFmtId="0" fontId="7" fillId="12" borderId="39" xfId="0" applyFont="1" applyFill="1" applyBorder="1" applyAlignment="1">
      <alignment horizontal="center" vertical="center"/>
    </xf>
    <xf numFmtId="0" fontId="7" fillId="12" borderId="40" xfId="0" applyFont="1" applyFill="1" applyBorder="1" applyAlignment="1">
      <alignment horizontal="center" vertical="center"/>
    </xf>
    <xf numFmtId="0" fontId="7" fillId="12" borderId="41" xfId="0" applyFont="1" applyFill="1" applyBorder="1" applyAlignment="1">
      <alignment horizontal="center" vertical="center"/>
    </xf>
    <xf numFmtId="0" fontId="7" fillId="12" borderId="42" xfId="0" applyFont="1" applyFill="1" applyBorder="1" applyAlignment="1">
      <alignment horizontal="center" vertical="center"/>
    </xf>
    <xf numFmtId="0" fontId="7" fillId="12" borderId="43" xfId="0" applyFont="1" applyFill="1" applyBorder="1" applyAlignment="1">
      <alignment horizontal="center" vertical="center"/>
    </xf>
    <xf numFmtId="0" fontId="7" fillId="12" borderId="44" xfId="0" applyFont="1" applyFill="1" applyBorder="1" applyAlignment="1">
      <alignment horizontal="center" vertical="center"/>
    </xf>
    <xf numFmtId="0" fontId="7" fillId="12" borderId="18" xfId="0" applyFont="1" applyFill="1" applyBorder="1" applyAlignment="1">
      <alignment horizontal="center" vertical="center"/>
    </xf>
    <xf numFmtId="0" fontId="7" fillId="12" borderId="45" xfId="0" applyFont="1" applyFill="1" applyBorder="1" applyAlignment="1">
      <alignment horizontal="center" vertical="center"/>
    </xf>
    <xf numFmtId="0" fontId="7" fillId="11" borderId="43" xfId="0" applyFont="1" applyFill="1" applyBorder="1" applyAlignment="1">
      <alignment horizontal="center" vertical="center"/>
    </xf>
    <xf numFmtId="0" fontId="7" fillId="11" borderId="44" xfId="0" applyFont="1" applyFill="1" applyBorder="1" applyAlignment="1">
      <alignment horizontal="center" vertical="center"/>
    </xf>
    <xf numFmtId="0" fontId="7" fillId="11" borderId="18" xfId="0" applyFont="1" applyFill="1" applyBorder="1" applyAlignment="1">
      <alignment horizontal="center" vertical="center"/>
    </xf>
    <xf numFmtId="0" fontId="7" fillId="11" borderId="45" xfId="0" applyFont="1" applyFill="1" applyBorder="1" applyAlignment="1">
      <alignment horizontal="center" vertical="center"/>
    </xf>
    <xf numFmtId="0" fontId="7" fillId="12" borderId="50" xfId="0" applyFont="1" applyFill="1" applyBorder="1" applyAlignment="1">
      <alignment horizontal="center" vertical="center"/>
    </xf>
    <xf numFmtId="0" fontId="7" fillId="12" borderId="51" xfId="0" applyFont="1" applyFill="1" applyBorder="1" applyAlignment="1">
      <alignment horizontal="center" vertical="center"/>
    </xf>
    <xf numFmtId="0" fontId="7" fillId="12" borderId="17" xfId="0" applyFont="1" applyFill="1" applyBorder="1" applyAlignment="1">
      <alignment horizontal="center" vertical="center" wrapText="1"/>
    </xf>
    <xf numFmtId="0" fontId="7" fillId="11" borderId="17" xfId="0" applyFont="1" applyFill="1" applyBorder="1" applyAlignment="1">
      <alignment horizontal="center" vertical="center" wrapText="1"/>
    </xf>
    <xf numFmtId="0" fontId="7" fillId="12" borderId="20" xfId="0" applyFont="1" applyFill="1" applyBorder="1" applyAlignment="1">
      <alignment horizontal="center" vertical="center" wrapText="1"/>
    </xf>
    <xf numFmtId="0" fontId="7" fillId="12" borderId="21" xfId="0" applyFont="1" applyFill="1" applyBorder="1" applyAlignment="1">
      <alignment horizontal="center" vertical="center" wrapText="1"/>
    </xf>
    <xf numFmtId="0" fontId="7" fillId="12" borderId="23" xfId="0" applyFont="1" applyFill="1" applyBorder="1" applyAlignment="1">
      <alignment horizontal="center" vertical="center" wrapText="1"/>
    </xf>
    <xf numFmtId="0" fontId="7" fillId="11" borderId="24" xfId="0" applyFont="1" applyFill="1" applyBorder="1" applyAlignment="1">
      <alignment horizontal="center" vertical="center"/>
    </xf>
    <xf numFmtId="0" fontId="7" fillId="11" borderId="25" xfId="0" applyFont="1" applyFill="1" applyBorder="1" applyAlignment="1">
      <alignment horizontal="center" vertical="center"/>
    </xf>
    <xf numFmtId="0" fontId="7" fillId="11" borderId="26" xfId="0" applyFont="1" applyFill="1" applyBorder="1" applyAlignment="1">
      <alignment horizontal="center" vertical="center"/>
    </xf>
    <xf numFmtId="0" fontId="7" fillId="11" borderId="23" xfId="0" applyFont="1" applyFill="1" applyBorder="1" applyAlignment="1">
      <alignment horizontal="center" vertical="center" wrapText="1"/>
    </xf>
    <xf numFmtId="0" fontId="7" fillId="11" borderId="25" xfId="0" applyFont="1" applyFill="1" applyBorder="1" applyAlignment="1">
      <alignment horizontal="center" vertical="center" wrapText="1"/>
    </xf>
    <xf numFmtId="0" fontId="7" fillId="11" borderId="26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16" fillId="0" borderId="0" xfId="0" applyFont="1"/>
    <xf numFmtId="0" fontId="17" fillId="0" borderId="0" xfId="0" applyFont="1"/>
    <xf numFmtId="0" fontId="18" fillId="0" borderId="0" xfId="0" applyFont="1"/>
    <xf numFmtId="0" fontId="19" fillId="0" borderId="0" xfId="0" applyFont="1"/>
    <xf numFmtId="0" fontId="20" fillId="0" borderId="0" xfId="0" applyFont="1"/>
    <xf numFmtId="0" fontId="21" fillId="0" borderId="0" xfId="0" applyFont="1"/>
    <xf numFmtId="0" fontId="22" fillId="0" borderId="0" xfId="0" applyFont="1"/>
    <xf numFmtId="0" fontId="23" fillId="0" borderId="0" xfId="0" applyFont="1"/>
    <xf numFmtId="0" fontId="24" fillId="0" borderId="0" xfId="0" applyFont="1"/>
    <xf numFmtId="0" fontId="10" fillId="3" borderId="60" xfId="0" applyFont="1" applyFill="1" applyBorder="1" applyAlignment="1">
      <alignment horizontal="center" vertical="center" wrapText="1"/>
    </xf>
    <xf numFmtId="0" fontId="10" fillId="3" borderId="65" xfId="0" applyFont="1" applyFill="1" applyBorder="1" applyAlignment="1">
      <alignment horizontal="center" vertical="center" wrapText="1"/>
    </xf>
    <xf numFmtId="0" fontId="10" fillId="3" borderId="66" xfId="0" applyFont="1" applyFill="1" applyBorder="1" applyAlignment="1">
      <alignment horizontal="center" vertical="center" wrapText="1"/>
    </xf>
    <xf numFmtId="0" fontId="35" fillId="8" borderId="11" xfId="0" applyFont="1" applyFill="1" applyBorder="1" applyAlignment="1">
      <alignment horizontal="center" vertical="center"/>
    </xf>
    <xf numFmtId="0" fontId="35" fillId="8" borderId="12" xfId="0" applyFont="1" applyFill="1" applyBorder="1" applyAlignment="1">
      <alignment horizontal="center" vertical="center"/>
    </xf>
    <xf numFmtId="0" fontId="35" fillId="8" borderId="13" xfId="0" applyFont="1" applyFill="1" applyBorder="1" applyAlignment="1">
      <alignment horizontal="center" vertical="center"/>
    </xf>
    <xf numFmtId="0" fontId="25" fillId="8" borderId="11" xfId="0" applyFont="1" applyFill="1" applyBorder="1" applyAlignment="1">
      <alignment horizontal="center" vertical="center"/>
    </xf>
    <xf numFmtId="0" fontId="36" fillId="0" borderId="62" xfId="0" applyFont="1" applyBorder="1" applyAlignment="1">
      <alignment horizontal="center" vertical="center"/>
    </xf>
    <xf numFmtId="0" fontId="36" fillId="0" borderId="63" xfId="0" applyFont="1" applyBorder="1" applyAlignment="1">
      <alignment horizontal="center" vertical="center"/>
    </xf>
    <xf numFmtId="0" fontId="38" fillId="13" borderId="1" xfId="0" applyFont="1" applyFill="1" applyBorder="1" applyAlignment="1">
      <alignment horizontal="center" vertical="center" wrapText="1"/>
    </xf>
    <xf numFmtId="0" fontId="37" fillId="10" borderId="1" xfId="0" applyFont="1" applyFill="1" applyBorder="1" applyAlignment="1">
      <alignment horizontal="center" vertical="center" wrapText="1"/>
    </xf>
    <xf numFmtId="0" fontId="37" fillId="14" borderId="1" xfId="0" applyFont="1" applyFill="1" applyBorder="1" applyAlignment="1">
      <alignment horizontal="center" vertical="center" wrapText="1"/>
    </xf>
    <xf numFmtId="0" fontId="10" fillId="3" borderId="75" xfId="0" applyFont="1" applyFill="1" applyBorder="1" applyAlignment="1">
      <alignment horizontal="center" vertical="center" wrapText="1"/>
    </xf>
    <xf numFmtId="0" fontId="10" fillId="3" borderId="77" xfId="0" applyFont="1" applyFill="1" applyBorder="1" applyAlignment="1">
      <alignment horizontal="center" vertical="center" wrapText="1"/>
    </xf>
    <xf numFmtId="0" fontId="10" fillId="3" borderId="84" xfId="0" applyFont="1" applyFill="1" applyBorder="1" applyAlignment="1">
      <alignment horizontal="center" vertical="center" wrapText="1"/>
    </xf>
    <xf numFmtId="0" fontId="10" fillId="3" borderId="85" xfId="0" applyFont="1" applyFill="1" applyBorder="1" applyAlignment="1">
      <alignment horizontal="center" vertical="center" wrapText="1"/>
    </xf>
    <xf numFmtId="0" fontId="37" fillId="10" borderId="65" xfId="0" applyFont="1" applyFill="1" applyBorder="1" applyAlignment="1">
      <alignment horizontal="center" vertical="center" wrapText="1"/>
    </xf>
    <xf numFmtId="0" fontId="37" fillId="10" borderId="66" xfId="0" applyFont="1" applyFill="1" applyBorder="1" applyAlignment="1">
      <alignment horizontal="center" vertical="center" wrapText="1"/>
    </xf>
    <xf numFmtId="0" fontId="37" fillId="14" borderId="65" xfId="0" applyFont="1" applyFill="1" applyBorder="1" applyAlignment="1">
      <alignment horizontal="center" vertical="center" wrapText="1"/>
    </xf>
    <xf numFmtId="0" fontId="37" fillId="14" borderId="66" xfId="0" applyFont="1" applyFill="1" applyBorder="1" applyAlignment="1">
      <alignment horizontal="center" vertical="center" wrapText="1"/>
    </xf>
    <xf numFmtId="0" fontId="38" fillId="13" borderId="65" xfId="0" applyFont="1" applyFill="1" applyBorder="1" applyAlignment="1">
      <alignment horizontal="center" vertical="center" wrapText="1"/>
    </xf>
    <xf numFmtId="0" fontId="38" fillId="13" borderId="66" xfId="0" applyFont="1" applyFill="1" applyBorder="1" applyAlignment="1">
      <alignment horizontal="center" vertical="center" wrapText="1"/>
    </xf>
    <xf numFmtId="0" fontId="38" fillId="13" borderId="67" xfId="0" applyFont="1" applyFill="1" applyBorder="1" applyAlignment="1">
      <alignment horizontal="center" vertical="center" wrapText="1"/>
    </xf>
    <xf numFmtId="0" fontId="38" fillId="13" borderId="61" xfId="0" applyFont="1" applyFill="1" applyBorder="1" applyAlignment="1">
      <alignment horizontal="center" vertical="center" wrapText="1"/>
    </xf>
    <xf numFmtId="0" fontId="38" fillId="13" borderId="68" xfId="0" applyFont="1" applyFill="1" applyBorder="1" applyAlignment="1">
      <alignment horizontal="center" vertical="center" wrapText="1"/>
    </xf>
    <xf numFmtId="0" fontId="7" fillId="15" borderId="0" xfId="0" applyFont="1" applyFill="1" applyAlignment="1">
      <alignment horizontal="center" vertical="center"/>
    </xf>
    <xf numFmtId="0" fontId="7" fillId="12" borderId="25" xfId="2" applyFont="1" applyFill="1" applyBorder="1" applyAlignment="1">
      <alignment horizontal="center" vertical="center" wrapText="1"/>
    </xf>
    <xf numFmtId="0" fontId="13" fillId="0" borderId="7" xfId="0" applyFont="1" applyBorder="1" applyAlignment="1">
      <alignment vertical="center" wrapText="1"/>
    </xf>
    <xf numFmtId="0" fontId="8" fillId="8" borderId="89" xfId="0" applyFont="1" applyFill="1" applyBorder="1" applyAlignment="1">
      <alignment horizontal="center" vertical="center"/>
    </xf>
    <xf numFmtId="0" fontId="8" fillId="8" borderId="90" xfId="0" applyFont="1" applyFill="1" applyBorder="1" applyAlignment="1">
      <alignment horizontal="center" vertical="center"/>
    </xf>
    <xf numFmtId="0" fontId="8" fillId="8" borderId="91" xfId="0" applyFont="1" applyFill="1" applyBorder="1" applyAlignment="1">
      <alignment horizontal="center" vertical="center"/>
    </xf>
    <xf numFmtId="0" fontId="13" fillId="7" borderId="17" xfId="0" applyFont="1" applyFill="1" applyBorder="1" applyAlignment="1">
      <alignment horizontal="center" vertical="center" wrapText="1"/>
    </xf>
    <xf numFmtId="0" fontId="9" fillId="5" borderId="17" xfId="0" applyFont="1" applyFill="1" applyBorder="1" applyAlignment="1">
      <alignment horizontal="center" vertical="center" wrapText="1"/>
    </xf>
    <xf numFmtId="0" fontId="10" fillId="3" borderId="17" xfId="0" applyFont="1" applyFill="1" applyBorder="1" applyAlignment="1">
      <alignment horizontal="center" vertical="center" wrapText="1"/>
    </xf>
    <xf numFmtId="9" fontId="13" fillId="7" borderId="17" xfId="1" applyFont="1" applyFill="1" applyBorder="1" applyAlignment="1">
      <alignment horizontal="center" vertical="center" wrapText="1"/>
    </xf>
    <xf numFmtId="9" fontId="9" fillId="5" borderId="17" xfId="1" applyFont="1" applyFill="1" applyBorder="1" applyAlignment="1">
      <alignment horizontal="center" vertical="center" wrapText="1"/>
    </xf>
    <xf numFmtId="9" fontId="10" fillId="3" borderId="17" xfId="1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10" fillId="12" borderId="65" xfId="0" applyFont="1" applyFill="1" applyBorder="1" applyAlignment="1">
      <alignment horizontal="center" vertical="center" wrapText="1"/>
    </xf>
    <xf numFmtId="0" fontId="10" fillId="12" borderId="1" xfId="0" applyFont="1" applyFill="1" applyBorder="1" applyAlignment="1">
      <alignment horizontal="center" vertical="center" wrapText="1"/>
    </xf>
    <xf numFmtId="0" fontId="10" fillId="12" borderId="66" xfId="0" applyFont="1" applyFill="1" applyBorder="1" applyAlignment="1">
      <alignment horizontal="center" vertical="center" wrapText="1"/>
    </xf>
    <xf numFmtId="0" fontId="29" fillId="12" borderId="72" xfId="0" applyFont="1" applyFill="1" applyBorder="1" applyAlignment="1">
      <alignment horizontal="center" vertical="center" wrapText="1"/>
    </xf>
    <xf numFmtId="0" fontId="29" fillId="12" borderId="73" xfId="0" applyFont="1" applyFill="1" applyBorder="1" applyAlignment="1">
      <alignment horizontal="center" vertical="center" wrapText="1"/>
    </xf>
    <xf numFmtId="0" fontId="29" fillId="12" borderId="74" xfId="0" applyFont="1" applyFill="1" applyBorder="1" applyAlignment="1">
      <alignment horizontal="center" vertical="center" wrapText="1"/>
    </xf>
    <xf numFmtId="0" fontId="10" fillId="12" borderId="69" xfId="0" applyFont="1" applyFill="1" applyBorder="1" applyAlignment="1">
      <alignment horizontal="center" vertical="center" wrapText="1"/>
    </xf>
    <xf numFmtId="0" fontId="10" fillId="12" borderId="70" xfId="0" applyFont="1" applyFill="1" applyBorder="1" applyAlignment="1">
      <alignment horizontal="center" vertical="center" wrapText="1"/>
    </xf>
    <xf numFmtId="0" fontId="10" fillId="12" borderId="71" xfId="0" applyFont="1" applyFill="1" applyBorder="1" applyAlignment="1">
      <alignment horizontal="center" vertical="center" wrapText="1"/>
    </xf>
    <xf numFmtId="0" fontId="9" fillId="5" borderId="94" xfId="0" applyFont="1" applyFill="1" applyBorder="1" applyAlignment="1">
      <alignment horizontal="center" vertical="center" wrapText="1"/>
    </xf>
    <xf numFmtId="0" fontId="9" fillId="5" borderId="95" xfId="0" applyFont="1" applyFill="1" applyBorder="1" applyAlignment="1">
      <alignment horizontal="center" vertical="center" wrapText="1"/>
    </xf>
    <xf numFmtId="9" fontId="9" fillId="5" borderId="95" xfId="1" applyFont="1" applyFill="1" applyBorder="1" applyAlignment="1">
      <alignment horizontal="center" vertical="center" wrapText="1"/>
    </xf>
    <xf numFmtId="0" fontId="9" fillId="5" borderId="96" xfId="0" applyFont="1" applyFill="1" applyBorder="1" applyAlignment="1">
      <alignment horizontal="center" vertical="center" wrapText="1"/>
    </xf>
    <xf numFmtId="0" fontId="13" fillId="7" borderId="97" xfId="0" applyFont="1" applyFill="1" applyBorder="1" applyAlignment="1">
      <alignment horizontal="center" vertical="center" wrapText="1"/>
    </xf>
    <xf numFmtId="0" fontId="13" fillId="7" borderId="98" xfId="0" applyFont="1" applyFill="1" applyBorder="1" applyAlignment="1">
      <alignment horizontal="center" vertical="center" wrapText="1"/>
    </xf>
    <xf numFmtId="0" fontId="9" fillId="5" borderId="97" xfId="0" applyFont="1" applyFill="1" applyBorder="1" applyAlignment="1">
      <alignment horizontal="center" vertical="center" wrapText="1"/>
    </xf>
    <xf numFmtId="0" fontId="9" fillId="5" borderId="98" xfId="0" applyFont="1" applyFill="1" applyBorder="1" applyAlignment="1">
      <alignment horizontal="center" vertical="center" wrapText="1"/>
    </xf>
    <xf numFmtId="0" fontId="10" fillId="3" borderId="97" xfId="0" applyFont="1" applyFill="1" applyBorder="1" applyAlignment="1">
      <alignment horizontal="center" vertical="center" wrapText="1"/>
    </xf>
    <xf numFmtId="0" fontId="10" fillId="3" borderId="98" xfId="0" applyFont="1" applyFill="1" applyBorder="1" applyAlignment="1">
      <alignment horizontal="center" vertical="center" wrapText="1"/>
    </xf>
    <xf numFmtId="0" fontId="9" fillId="5" borderId="99" xfId="0" applyFont="1" applyFill="1" applyBorder="1" applyAlignment="1">
      <alignment horizontal="center" vertical="center" wrapText="1"/>
    </xf>
    <xf numFmtId="0" fontId="9" fillId="5" borderId="100" xfId="0" applyFont="1" applyFill="1" applyBorder="1" applyAlignment="1">
      <alignment horizontal="center" vertical="center" wrapText="1"/>
    </xf>
    <xf numFmtId="9" fontId="9" fillId="5" borderId="100" xfId="1" applyFont="1" applyFill="1" applyBorder="1" applyAlignment="1">
      <alignment horizontal="center" vertical="center" wrapText="1"/>
    </xf>
    <xf numFmtId="0" fontId="9" fillId="5" borderId="101" xfId="0" applyFont="1" applyFill="1" applyBorder="1" applyAlignment="1">
      <alignment horizontal="center" vertical="center" wrapText="1"/>
    </xf>
    <xf numFmtId="0" fontId="7" fillId="12" borderId="51" xfId="2" applyFont="1" applyFill="1" applyBorder="1" applyAlignment="1">
      <alignment horizontal="center" vertical="center" wrapText="1"/>
    </xf>
    <xf numFmtId="0" fontId="15" fillId="12" borderId="18" xfId="2" applyFont="1" applyFill="1" applyBorder="1" applyAlignment="1">
      <alignment horizontal="center" vertical="center" wrapText="1"/>
    </xf>
    <xf numFmtId="0" fontId="4" fillId="12" borderId="18" xfId="2" applyFill="1" applyBorder="1" applyAlignment="1">
      <alignment horizontal="center" vertical="center" wrapText="1"/>
    </xf>
    <xf numFmtId="0" fontId="8" fillId="8" borderId="104" xfId="0" applyFont="1" applyFill="1" applyBorder="1" applyAlignment="1">
      <alignment horizontal="center" vertical="center"/>
    </xf>
    <xf numFmtId="0" fontId="8" fillId="8" borderId="105" xfId="0" applyFont="1" applyFill="1" applyBorder="1" applyAlignment="1">
      <alignment horizontal="center" vertical="center"/>
    </xf>
    <xf numFmtId="0" fontId="8" fillId="8" borderId="106" xfId="0" applyFont="1" applyFill="1" applyBorder="1" applyAlignment="1">
      <alignment horizontal="center" vertical="center"/>
    </xf>
    <xf numFmtId="0" fontId="8" fillId="8" borderId="15" xfId="0" applyFont="1" applyFill="1" applyBorder="1" applyAlignment="1">
      <alignment horizontal="center" vertical="center" wrapText="1"/>
    </xf>
    <xf numFmtId="0" fontId="8" fillId="8" borderId="16" xfId="0" applyFont="1" applyFill="1" applyBorder="1" applyAlignment="1">
      <alignment horizontal="center" vertical="center" wrapText="1"/>
    </xf>
    <xf numFmtId="0" fontId="7" fillId="12" borderId="31" xfId="0" applyFont="1" applyFill="1" applyBorder="1" applyAlignment="1">
      <alignment horizontal="center" vertical="center" wrapText="1"/>
    </xf>
    <xf numFmtId="0" fontId="7" fillId="12" borderId="28" xfId="0" applyFont="1" applyFill="1" applyBorder="1" applyAlignment="1">
      <alignment horizontal="center" vertical="center" wrapText="1"/>
    </xf>
    <xf numFmtId="0" fontId="7" fillId="12" borderId="32" xfId="0" applyFont="1" applyFill="1" applyBorder="1" applyAlignment="1">
      <alignment horizontal="center" vertical="center" wrapText="1"/>
    </xf>
    <xf numFmtId="0" fontId="7" fillId="12" borderId="29" xfId="0" applyFont="1" applyFill="1" applyBorder="1" applyAlignment="1">
      <alignment horizontal="center" vertical="center" wrapText="1"/>
    </xf>
    <xf numFmtId="0" fontId="7" fillId="11" borderId="32" xfId="0" applyFont="1" applyFill="1" applyBorder="1" applyAlignment="1">
      <alignment horizontal="center" vertical="center" wrapText="1"/>
    </xf>
    <xf numFmtId="0" fontId="7" fillId="11" borderId="29" xfId="0" applyFont="1" applyFill="1" applyBorder="1" applyAlignment="1">
      <alignment horizontal="center" vertical="center" wrapText="1"/>
    </xf>
    <xf numFmtId="0" fontId="7" fillId="12" borderId="39" xfId="0" applyFont="1" applyFill="1" applyBorder="1" applyAlignment="1">
      <alignment horizontal="center" vertical="center" wrapText="1"/>
    </xf>
    <xf numFmtId="0" fontId="7" fillId="12" borderId="40" xfId="0" applyFont="1" applyFill="1" applyBorder="1" applyAlignment="1">
      <alignment horizontal="center" vertical="center" wrapText="1"/>
    </xf>
    <xf numFmtId="0" fontId="7" fillId="12" borderId="41" xfId="0" applyFont="1" applyFill="1" applyBorder="1" applyAlignment="1">
      <alignment horizontal="center" vertical="center" wrapText="1"/>
    </xf>
    <xf numFmtId="0" fontId="7" fillId="12" borderId="42" xfId="0" applyFont="1" applyFill="1" applyBorder="1" applyAlignment="1">
      <alignment horizontal="center" vertical="center" wrapText="1"/>
    </xf>
    <xf numFmtId="0" fontId="7" fillId="12" borderId="33" xfId="0" applyFont="1" applyFill="1" applyBorder="1" applyAlignment="1">
      <alignment horizontal="center" vertical="center" wrapText="1"/>
    </xf>
    <xf numFmtId="0" fontId="7" fillId="12" borderId="30" xfId="0" applyFont="1" applyFill="1" applyBorder="1" applyAlignment="1">
      <alignment horizontal="center" vertical="center" wrapText="1"/>
    </xf>
    <xf numFmtId="0" fontId="7" fillId="12" borderId="25" xfId="0" applyFont="1" applyFill="1" applyBorder="1" applyAlignment="1">
      <alignment horizontal="center" vertical="center" wrapText="1"/>
    </xf>
    <xf numFmtId="0" fontId="7" fillId="12" borderId="26" xfId="0" applyFont="1" applyFill="1" applyBorder="1" applyAlignment="1">
      <alignment horizontal="center" vertical="center" wrapText="1"/>
    </xf>
    <xf numFmtId="0" fontId="7" fillId="12" borderId="43" xfId="0" applyFont="1" applyFill="1" applyBorder="1" applyAlignment="1">
      <alignment horizontal="center" vertical="center" wrapText="1"/>
    </xf>
    <xf numFmtId="0" fontId="7" fillId="12" borderId="44" xfId="0" applyFont="1" applyFill="1" applyBorder="1" applyAlignment="1">
      <alignment horizontal="center" vertical="center" wrapText="1"/>
    </xf>
    <xf numFmtId="0" fontId="7" fillId="12" borderId="18" xfId="0" applyFont="1" applyFill="1" applyBorder="1" applyAlignment="1">
      <alignment horizontal="center" vertical="center" wrapText="1"/>
    </xf>
    <xf numFmtId="0" fontId="7" fillId="12" borderId="45" xfId="0" applyFont="1" applyFill="1" applyBorder="1" applyAlignment="1">
      <alignment horizontal="center" vertical="center" wrapText="1"/>
    </xf>
    <xf numFmtId="0" fontId="8" fillId="8" borderId="107" xfId="0" applyFont="1" applyFill="1" applyBorder="1" applyAlignment="1">
      <alignment horizontal="center" vertical="center"/>
    </xf>
    <xf numFmtId="0" fontId="8" fillId="8" borderId="108" xfId="0" applyFont="1" applyFill="1" applyBorder="1" applyAlignment="1">
      <alignment horizontal="center" vertical="center"/>
    </xf>
    <xf numFmtId="9" fontId="8" fillId="8" borderId="109" xfId="1" applyFont="1" applyFill="1" applyBorder="1" applyAlignment="1">
      <alignment horizontal="center" vertical="center"/>
    </xf>
    <xf numFmtId="0" fontId="6" fillId="8" borderId="8" xfId="0" applyFont="1" applyFill="1" applyBorder="1" applyAlignment="1">
      <alignment horizontal="center" vertical="center"/>
    </xf>
    <xf numFmtId="0" fontId="6" fillId="8" borderId="9" xfId="0" applyFont="1" applyFill="1" applyBorder="1" applyAlignment="1">
      <alignment horizontal="center" vertical="center"/>
    </xf>
    <xf numFmtId="0" fontId="6" fillId="8" borderId="10" xfId="0" applyFont="1" applyFill="1" applyBorder="1" applyAlignment="1">
      <alignment horizontal="center" vertical="center"/>
    </xf>
    <xf numFmtId="0" fontId="8" fillId="8" borderId="92" xfId="0" applyFont="1" applyFill="1" applyBorder="1" applyAlignment="1">
      <alignment horizontal="center" vertical="center"/>
    </xf>
    <xf numFmtId="0" fontId="8" fillId="8" borderId="93" xfId="0" applyFont="1" applyFill="1" applyBorder="1" applyAlignment="1">
      <alignment horizontal="center" vertical="center"/>
    </xf>
    <xf numFmtId="0" fontId="11" fillId="2" borderId="53" xfId="0" applyFont="1" applyFill="1" applyBorder="1" applyAlignment="1">
      <alignment horizontal="center" vertical="center" wrapText="1"/>
    </xf>
    <xf numFmtId="0" fontId="11" fillId="2" borderId="54" xfId="0" applyFont="1" applyFill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center" wrapText="1"/>
    </xf>
    <xf numFmtId="0" fontId="11" fillId="2" borderId="56" xfId="0" applyFont="1" applyFill="1" applyBorder="1" applyAlignment="1">
      <alignment horizontal="center" vertical="center" wrapText="1"/>
    </xf>
    <xf numFmtId="0" fontId="9" fillId="5" borderId="57" xfId="0" applyFont="1" applyFill="1" applyBorder="1" applyAlignment="1">
      <alignment horizontal="center" vertical="center" wrapText="1"/>
    </xf>
    <xf numFmtId="0" fontId="9" fillId="5" borderId="58" xfId="0" applyFont="1" applyFill="1" applyBorder="1" applyAlignment="1">
      <alignment horizontal="center" vertical="center" wrapText="1"/>
    </xf>
    <xf numFmtId="0" fontId="26" fillId="8" borderId="8" xfId="0" applyFont="1" applyFill="1" applyBorder="1" applyAlignment="1">
      <alignment horizontal="center" vertical="center"/>
    </xf>
    <xf numFmtId="0" fontId="26" fillId="8" borderId="9" xfId="0" applyFont="1" applyFill="1" applyBorder="1" applyAlignment="1">
      <alignment horizontal="center" vertical="center"/>
    </xf>
    <xf numFmtId="0" fontId="26" fillId="8" borderId="10" xfId="0" applyFont="1" applyFill="1" applyBorder="1" applyAlignment="1">
      <alignment horizontal="center" vertical="center"/>
    </xf>
    <xf numFmtId="0" fontId="28" fillId="9" borderId="8" xfId="0" applyFont="1" applyFill="1" applyBorder="1" applyAlignment="1">
      <alignment horizontal="center" vertical="center"/>
    </xf>
    <xf numFmtId="0" fontId="28" fillId="9" borderId="9" xfId="0" applyFont="1" applyFill="1" applyBorder="1" applyAlignment="1">
      <alignment horizontal="center" vertical="center"/>
    </xf>
    <xf numFmtId="0" fontId="28" fillId="9" borderId="10" xfId="0" applyFont="1" applyFill="1" applyBorder="1" applyAlignment="1">
      <alignment horizontal="center" vertical="center"/>
    </xf>
    <xf numFmtId="0" fontId="11" fillId="2" borderId="58" xfId="0" applyFont="1" applyFill="1" applyBorder="1" applyAlignment="1">
      <alignment horizontal="center" vertical="center" wrapText="1"/>
    </xf>
    <xf numFmtId="0" fontId="11" fillId="2" borderId="59" xfId="0" applyFont="1" applyFill="1" applyBorder="1" applyAlignment="1">
      <alignment horizontal="center" vertical="center" wrapText="1"/>
    </xf>
    <xf numFmtId="0" fontId="10" fillId="3" borderId="52" xfId="0" applyFont="1" applyFill="1" applyBorder="1" applyAlignment="1">
      <alignment horizontal="center" vertical="center" wrapText="1"/>
    </xf>
    <xf numFmtId="0" fontId="10" fillId="3" borderId="53" xfId="0" applyFont="1" applyFill="1" applyBorder="1" applyAlignment="1">
      <alignment horizontal="center" vertical="center" wrapText="1"/>
    </xf>
    <xf numFmtId="0" fontId="12" fillId="4" borderId="55" xfId="0" applyFont="1" applyFill="1" applyBorder="1" applyAlignment="1">
      <alignment horizontal="center" vertical="center" wrapText="1"/>
    </xf>
    <xf numFmtId="0" fontId="12" fillId="4" borderId="3" xfId="0" applyFont="1" applyFill="1" applyBorder="1" applyAlignment="1">
      <alignment horizontal="center" vertical="center" wrapText="1"/>
    </xf>
    <xf numFmtId="0" fontId="9" fillId="5" borderId="55" xfId="0" applyFont="1" applyFill="1" applyBorder="1" applyAlignment="1">
      <alignment horizontal="center" vertical="center" wrapText="1"/>
    </xf>
    <xf numFmtId="0" fontId="9" fillId="5" borderId="3" xfId="0" applyFont="1" applyFill="1" applyBorder="1" applyAlignment="1">
      <alignment horizontal="center" vertical="center" wrapText="1"/>
    </xf>
    <xf numFmtId="0" fontId="10" fillId="3" borderId="55" xfId="0" applyFont="1" applyFill="1" applyBorder="1" applyAlignment="1">
      <alignment horizontal="center" vertical="center" wrapText="1"/>
    </xf>
    <xf numFmtId="0" fontId="10" fillId="3" borderId="3" xfId="0" applyFont="1" applyFill="1" applyBorder="1" applyAlignment="1">
      <alignment horizontal="center" vertical="center" wrapText="1"/>
    </xf>
    <xf numFmtId="0" fontId="12" fillId="6" borderId="55" xfId="0" applyFont="1" applyFill="1" applyBorder="1" applyAlignment="1">
      <alignment horizontal="center" vertical="center" wrapText="1"/>
    </xf>
    <xf numFmtId="0" fontId="12" fillId="6" borderId="3" xfId="0" applyFont="1" applyFill="1" applyBorder="1" applyAlignment="1">
      <alignment horizontal="center" vertical="center" wrapText="1"/>
    </xf>
    <xf numFmtId="0" fontId="13" fillId="7" borderId="55" xfId="0" applyFont="1" applyFill="1" applyBorder="1" applyAlignment="1">
      <alignment horizontal="center" vertical="center" wrapText="1"/>
    </xf>
    <xf numFmtId="0" fontId="13" fillId="7" borderId="3" xfId="0" applyFont="1" applyFill="1" applyBorder="1" applyAlignment="1">
      <alignment horizontal="center" vertical="center" wrapText="1"/>
    </xf>
    <xf numFmtId="0" fontId="34" fillId="8" borderId="8" xfId="0" applyFont="1" applyFill="1" applyBorder="1" applyAlignment="1">
      <alignment horizontal="center" vertical="center"/>
    </xf>
    <xf numFmtId="0" fontId="34" fillId="8" borderId="9" xfId="0" applyFont="1" applyFill="1" applyBorder="1" applyAlignment="1">
      <alignment horizontal="center" vertical="center"/>
    </xf>
    <xf numFmtId="0" fontId="34" fillId="8" borderId="10" xfId="0" applyFont="1" applyFill="1" applyBorder="1" applyAlignment="1">
      <alignment horizontal="center" vertical="center"/>
    </xf>
    <xf numFmtId="0" fontId="38" fillId="13" borderId="77" xfId="0" applyFont="1" applyFill="1" applyBorder="1" applyAlignment="1">
      <alignment horizontal="center" vertical="center" wrapText="1"/>
    </xf>
    <xf numFmtId="0" fontId="38" fillId="13" borderId="78" xfId="0" applyFont="1" applyFill="1" applyBorder="1" applyAlignment="1">
      <alignment horizontal="center" vertical="center" wrapText="1"/>
    </xf>
    <xf numFmtId="0" fontId="38" fillId="13" borderId="79" xfId="0" applyFont="1" applyFill="1" applyBorder="1" applyAlignment="1">
      <alignment horizontal="center" vertical="center" wrapText="1"/>
    </xf>
    <xf numFmtId="0" fontId="38" fillId="13" borderId="86" xfId="0" applyFont="1" applyFill="1" applyBorder="1" applyAlignment="1">
      <alignment horizontal="center" vertical="center" wrapText="1"/>
    </xf>
    <xf numFmtId="0" fontId="38" fillId="13" borderId="87" xfId="0" applyFont="1" applyFill="1" applyBorder="1" applyAlignment="1">
      <alignment horizontal="center" vertical="center" wrapText="1"/>
    </xf>
    <xf numFmtId="0" fontId="38" fillId="13" borderId="88" xfId="0" applyFont="1" applyFill="1" applyBorder="1" applyAlignment="1">
      <alignment horizontal="center" vertical="center" wrapText="1"/>
    </xf>
    <xf numFmtId="0" fontId="8" fillId="8" borderId="83" xfId="0" applyFont="1" applyFill="1" applyBorder="1" applyAlignment="1">
      <alignment horizontal="center" vertical="center"/>
    </xf>
    <xf numFmtId="0" fontId="8" fillId="8" borderId="49" xfId="0" applyFont="1" applyFill="1" applyBorder="1" applyAlignment="1">
      <alignment horizontal="center" vertical="center"/>
    </xf>
    <xf numFmtId="0" fontId="8" fillId="8" borderId="27" xfId="0" applyFont="1" applyFill="1" applyBorder="1" applyAlignment="1">
      <alignment horizontal="center" vertical="center"/>
    </xf>
    <xf numFmtId="0" fontId="27" fillId="8" borderId="8" xfId="0" applyFont="1" applyFill="1" applyBorder="1" applyAlignment="1">
      <alignment horizontal="center" vertical="center"/>
    </xf>
    <xf numFmtId="0" fontId="27" fillId="8" borderId="9" xfId="0" applyFont="1" applyFill="1" applyBorder="1" applyAlignment="1">
      <alignment horizontal="center" vertical="center"/>
    </xf>
    <xf numFmtId="0" fontId="27" fillId="8" borderId="10" xfId="0" applyFont="1" applyFill="1" applyBorder="1" applyAlignment="1">
      <alignment horizontal="center" vertical="center"/>
    </xf>
    <xf numFmtId="0" fontId="25" fillId="8" borderId="8" xfId="0" applyFont="1" applyFill="1" applyBorder="1" applyAlignment="1">
      <alignment horizontal="center" vertical="center"/>
    </xf>
    <xf numFmtId="0" fontId="25" fillId="8" borderId="10" xfId="0" applyFont="1" applyFill="1" applyBorder="1" applyAlignment="1">
      <alignment horizontal="center" vertical="center"/>
    </xf>
    <xf numFmtId="0" fontId="36" fillId="0" borderId="8" xfId="0" applyFont="1" applyBorder="1" applyAlignment="1">
      <alignment horizontal="center" vertical="center"/>
    </xf>
    <xf numFmtId="0" fontId="36" fillId="0" borderId="64" xfId="0" applyFont="1" applyBorder="1" applyAlignment="1">
      <alignment horizontal="center" vertical="center"/>
    </xf>
    <xf numFmtId="0" fontId="37" fillId="14" borderId="77" xfId="0" applyFont="1" applyFill="1" applyBorder="1" applyAlignment="1">
      <alignment horizontal="center" vertical="center" wrapText="1"/>
    </xf>
    <xf numFmtId="0" fontId="37" fillId="14" borderId="78" xfId="0" applyFont="1" applyFill="1" applyBorder="1" applyAlignment="1">
      <alignment horizontal="center" vertical="center" wrapText="1"/>
    </xf>
    <xf numFmtId="0" fontId="37" fillId="14" borderId="79" xfId="0" applyFont="1" applyFill="1" applyBorder="1" applyAlignment="1">
      <alignment horizontal="center" vertical="center" wrapText="1"/>
    </xf>
    <xf numFmtId="0" fontId="37" fillId="10" borderId="77" xfId="0" applyFont="1" applyFill="1" applyBorder="1" applyAlignment="1">
      <alignment horizontal="center" vertical="center"/>
    </xf>
    <xf numFmtId="0" fontId="37" fillId="10" borderId="78" xfId="0" applyFont="1" applyFill="1" applyBorder="1" applyAlignment="1">
      <alignment horizontal="center" vertical="center"/>
    </xf>
    <xf numFmtId="0" fontId="37" fillId="10" borderId="79" xfId="0" applyFont="1" applyFill="1" applyBorder="1" applyAlignment="1">
      <alignment horizontal="center" vertical="center"/>
    </xf>
    <xf numFmtId="0" fontId="10" fillId="3" borderId="75" xfId="0" applyFont="1" applyFill="1" applyBorder="1" applyAlignment="1">
      <alignment horizontal="center" vertical="center" wrapText="1"/>
    </xf>
    <xf numFmtId="0" fontId="10" fillId="3" borderId="76" xfId="0" applyFont="1" applyFill="1" applyBorder="1" applyAlignment="1">
      <alignment horizontal="center" vertical="center" wrapText="1"/>
    </xf>
    <xf numFmtId="0" fontId="10" fillId="3" borderId="77" xfId="0" applyFont="1" applyFill="1" applyBorder="1" applyAlignment="1">
      <alignment horizontal="center" vertical="center" wrapText="1"/>
    </xf>
    <xf numFmtId="0" fontId="10" fillId="3" borderId="78" xfId="0" applyFont="1" applyFill="1" applyBorder="1" applyAlignment="1">
      <alignment horizontal="center" vertical="center" wrapText="1"/>
    </xf>
    <xf numFmtId="0" fontId="37" fillId="10" borderId="80" xfId="0" applyFont="1" applyFill="1" applyBorder="1" applyAlignment="1">
      <alignment horizontal="center" vertical="center"/>
    </xf>
    <xf numFmtId="0" fontId="37" fillId="10" borderId="81" xfId="0" applyFont="1" applyFill="1" applyBorder="1" applyAlignment="1">
      <alignment horizontal="center" vertical="center"/>
    </xf>
    <xf numFmtId="0" fontId="37" fillId="10" borderId="82" xfId="0" applyFont="1" applyFill="1" applyBorder="1" applyAlignment="1">
      <alignment horizontal="center" vertical="center"/>
    </xf>
    <xf numFmtId="0" fontId="14" fillId="8" borderId="8" xfId="0" applyFont="1" applyFill="1" applyBorder="1" applyAlignment="1">
      <alignment horizontal="center" vertical="center"/>
    </xf>
    <xf numFmtId="0" fontId="14" fillId="8" borderId="9" xfId="0" applyFont="1" applyFill="1" applyBorder="1" applyAlignment="1">
      <alignment horizontal="center" vertical="center"/>
    </xf>
    <xf numFmtId="0" fontId="14" fillId="8" borderId="10" xfId="0" applyFont="1" applyFill="1" applyBorder="1" applyAlignment="1">
      <alignment horizontal="center" vertical="center"/>
    </xf>
    <xf numFmtId="0" fontId="14" fillId="8" borderId="102" xfId="0" applyFont="1" applyFill="1" applyBorder="1" applyAlignment="1">
      <alignment horizontal="center" vertical="center"/>
    </xf>
    <xf numFmtId="0" fontId="14" fillId="8" borderId="49" xfId="0" applyFont="1" applyFill="1" applyBorder="1" applyAlignment="1">
      <alignment horizontal="center" vertical="center"/>
    </xf>
    <xf numFmtId="0" fontId="14" fillId="8" borderId="103" xfId="0" applyFont="1" applyFill="1" applyBorder="1" applyAlignment="1">
      <alignment horizontal="center" vertical="center"/>
    </xf>
    <xf numFmtId="0" fontId="14" fillId="8" borderId="8" xfId="0" applyFont="1" applyFill="1" applyBorder="1" applyAlignment="1">
      <alignment horizontal="center" vertical="center" wrapText="1"/>
    </xf>
    <xf numFmtId="0" fontId="14" fillId="8" borderId="9" xfId="0" applyFont="1" applyFill="1" applyBorder="1" applyAlignment="1">
      <alignment horizontal="center" vertical="center" wrapText="1"/>
    </xf>
    <xf numFmtId="0" fontId="14" fillId="8" borderId="10" xfId="0" applyFont="1" applyFill="1" applyBorder="1" applyAlignment="1">
      <alignment horizontal="center" vertical="center" wrapText="1"/>
    </xf>
    <xf numFmtId="49" fontId="4" fillId="12" borderId="34" xfId="2" applyNumberFormat="1" applyFill="1" applyBorder="1" applyAlignment="1">
      <alignment horizontal="center" vertical="center" wrapText="1"/>
    </xf>
    <xf numFmtId="49" fontId="4" fillId="12" borderId="35" xfId="2" applyNumberFormat="1" applyFill="1" applyBorder="1" applyAlignment="1">
      <alignment horizontal="center" vertical="center" wrapText="1"/>
    </xf>
    <xf numFmtId="49" fontId="4" fillId="12" borderId="38" xfId="2" applyNumberFormat="1" applyFill="1" applyBorder="1" applyAlignment="1">
      <alignment horizontal="center" vertical="center" wrapText="1"/>
    </xf>
    <xf numFmtId="49" fontId="7" fillId="12" borderId="46" xfId="2" applyNumberFormat="1" applyFont="1" applyFill="1" applyBorder="1" applyAlignment="1">
      <alignment horizontal="center" vertical="center" wrapText="1"/>
    </xf>
    <xf numFmtId="49" fontId="7" fillId="12" borderId="47" xfId="2" applyNumberFormat="1" applyFont="1" applyFill="1" applyBorder="1" applyAlignment="1">
      <alignment horizontal="center" vertical="center" wrapText="1"/>
    </xf>
    <xf numFmtId="49" fontId="7" fillId="12" borderId="48" xfId="2" applyNumberFormat="1" applyFont="1" applyFill="1" applyBorder="1" applyAlignment="1">
      <alignment horizontal="center" vertical="center" wrapText="1"/>
    </xf>
    <xf numFmtId="49" fontId="7" fillId="12" borderId="37" xfId="2" applyNumberFormat="1" applyFont="1" applyFill="1" applyBorder="1" applyAlignment="1">
      <alignment horizontal="center" vertical="center" wrapText="1"/>
    </xf>
    <xf numFmtId="49" fontId="7" fillId="12" borderId="36" xfId="2" applyNumberFormat="1" applyFont="1" applyFill="1" applyBorder="1" applyAlignment="1">
      <alignment horizontal="center" vertical="center" wrapText="1"/>
    </xf>
    <xf numFmtId="49" fontId="4" fillId="12" borderId="46" xfId="2" applyNumberFormat="1" applyFill="1" applyBorder="1" applyAlignment="1">
      <alignment horizontal="center" vertical="center" wrapText="1"/>
    </xf>
    <xf numFmtId="49" fontId="4" fillId="12" borderId="47" xfId="2" applyNumberFormat="1" applyFill="1" applyBorder="1" applyAlignment="1">
      <alignment horizontal="center" vertical="center" wrapText="1"/>
    </xf>
    <xf numFmtId="49" fontId="4" fillId="12" borderId="48" xfId="2" applyNumberFormat="1" applyFill="1" applyBorder="1" applyAlignment="1">
      <alignment horizontal="center" vertical="center" wrapText="1"/>
    </xf>
    <xf numFmtId="49" fontId="4" fillId="12" borderId="36" xfId="2" applyNumberFormat="1" applyFill="1" applyBorder="1" applyAlignment="1">
      <alignment horizontal="center" vertical="center" wrapText="1"/>
    </xf>
    <xf numFmtId="49" fontId="4" fillId="12" borderId="37" xfId="2" applyNumberFormat="1" applyFill="1" applyBorder="1" applyAlignment="1">
      <alignment horizontal="center" vertical="center" wrapText="1"/>
    </xf>
    <xf numFmtId="49" fontId="7" fillId="12" borderId="34" xfId="2" applyNumberFormat="1" applyFont="1" applyFill="1" applyBorder="1" applyAlignment="1">
      <alignment horizontal="center" vertical="center" wrapText="1"/>
    </xf>
    <xf numFmtId="49" fontId="7" fillId="12" borderId="35" xfId="2" applyNumberFormat="1" applyFont="1" applyFill="1" applyBorder="1" applyAlignment="1">
      <alignment horizontal="center" vertical="center" wrapText="1"/>
    </xf>
    <xf numFmtId="49" fontId="7" fillId="12" borderId="38" xfId="2" applyNumberFormat="1" applyFont="1" applyFill="1" applyBorder="1" applyAlignment="1">
      <alignment horizontal="center" vertical="center" wrapText="1"/>
    </xf>
  </cellXfs>
  <cellStyles count="3">
    <cellStyle name="Normal" xfId="0" builtinId="0"/>
    <cellStyle name="Normal 2" xfId="2" xr:uid="{3DCB8239-EF47-824A-A17E-EECA3CB5B20D}"/>
    <cellStyle name="Per cent" xfId="1" builtinId="5"/>
  </cellStyles>
  <dxfs count="0"/>
  <tableStyles count="0" defaultTableStyle="TableStyleMedium2" defaultPivotStyle="PivotStyleLight16"/>
  <colors>
    <mruColors>
      <color rgb="FFEDABB1"/>
      <color rgb="FFE9E87D"/>
      <color rgb="FFD26B00"/>
      <color rgb="FFEAA044"/>
      <color rgb="FFC6A874"/>
      <color rgb="FF19CE1C"/>
      <color rgb="FFF5AA32"/>
      <color rgb="FFFFD000"/>
      <color rgb="FFC0392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14</xdr:col>
      <xdr:colOff>452886</xdr:colOff>
      <xdr:row>7</xdr:row>
      <xdr:rowOff>190500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547049C-BCB5-634D-AF92-44ED3FE7AFED}"/>
            </a:ext>
          </a:extLst>
        </xdr:cNvPr>
        <xdr:cNvSpPr txBox="1"/>
      </xdr:nvSpPr>
      <xdr:spPr>
        <a:xfrm>
          <a:off x="14185900" y="685800"/>
          <a:ext cx="5405886" cy="1206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/>
            <a:t>✅ Small decimal values handled correctly up to </a:t>
          </a:r>
          <a:r>
            <a:rPr lang="en-IN" sz="1100">
              <a:solidFill>
                <a:schemeClr val="dk1"/>
              </a:solidFill>
              <a:latin typeface="+mn-lt"/>
              <a:ea typeface="+mn-ea"/>
              <a:cs typeface="+mn-cs"/>
            </a:rPr>
            <a:t>1e-04</a:t>
          </a:r>
          <a:r>
            <a:rPr lang="en-IN"/>
            <a:t> range. Scientific notation used automatically for results smaller than </a:t>
          </a:r>
          <a:r>
            <a:rPr lang="en-IN" sz="1100">
              <a:solidFill>
                <a:schemeClr val="dk1"/>
              </a:solidFill>
              <a:latin typeface="+mn-lt"/>
              <a:ea typeface="+mn-ea"/>
              <a:cs typeface="+mn-cs"/>
            </a:rPr>
            <a:t>0.001</a:t>
          </a:r>
          <a:r>
            <a:rPr lang="en-IN"/>
            <a:t> — this is correct behavior, not a bug.</a:t>
          </a:r>
        </a:p>
        <a:p>
          <a:r>
            <a:rPr lang="en-IN"/>
            <a:t>⚠ Precision boundary — values smaller than approximately </a:t>
          </a:r>
          <a:r>
            <a:rPr lang="en-IN" sz="1100">
              <a:solidFill>
                <a:schemeClr val="dk1"/>
              </a:solidFill>
              <a:latin typeface="+mn-lt"/>
              <a:ea typeface="+mn-ea"/>
              <a:cs typeface="+mn-cs"/>
            </a:rPr>
            <a:t>1e-10</a:t>
          </a:r>
          <a:r>
            <a:rPr lang="en-IN"/>
            <a:t> may experience floating point underflow. Not tested in current scope.</a:t>
          </a:r>
        </a:p>
        <a:p>
          <a:r>
            <a:rPr lang="en-IN"/>
            <a:t>⚠ Geo Mean uses </a:t>
          </a:r>
          <a:r>
            <a:rPr lang="en-IN" sz="1100">
              <a:solidFill>
                <a:schemeClr val="dk1"/>
              </a:solidFill>
              <a:latin typeface="+mn-lt"/>
              <a:ea typeface="+mn-ea"/>
              <a:cs typeface="+mn-cs"/>
            </a:rPr>
            <a:t>log → exp</a:t>
          </a:r>
          <a:r>
            <a:rPr lang="en-IN"/>
            <a:t> method internally which introduces minor imprecision for extreme values. Acceptable within normal use range.</a:t>
          </a:r>
        </a:p>
        <a:p>
          <a:endParaRPr lang="en-GB" sz="1100"/>
        </a:p>
      </xdr:txBody>
    </xdr:sp>
    <xdr:clientData/>
  </xdr:twoCellAnchor>
  <xdr:twoCellAnchor>
    <xdr:from>
      <xdr:col>8</xdr:col>
      <xdr:colOff>25400</xdr:colOff>
      <xdr:row>9</xdr:row>
      <xdr:rowOff>25400</xdr:rowOff>
    </xdr:from>
    <xdr:to>
      <xdr:col>14</xdr:col>
      <xdr:colOff>478286</xdr:colOff>
      <xdr:row>16</xdr:row>
      <xdr:rowOff>177799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5911728-606D-9E4A-B7C3-5AAAA71CDD70}"/>
            </a:ext>
          </a:extLst>
        </xdr:cNvPr>
        <xdr:cNvSpPr txBox="1"/>
      </xdr:nvSpPr>
      <xdr:spPr>
        <a:xfrm>
          <a:off x="14211300" y="2133600"/>
          <a:ext cx="5405886" cy="15747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b="1"/>
            <a:t>Notes / Findings:</a:t>
          </a:r>
          <a:endParaRPr lang="en-IN"/>
        </a:p>
        <a:p>
          <a:r>
            <a:rPr lang="en-IN"/>
            <a:t>Precision is maintained correctly up to </a:t>
          </a:r>
          <a:r>
            <a:rPr lang="en-IN" b="1"/>
            <a:t>12 significant figures</a:t>
          </a:r>
          <a:r>
            <a:rPr lang="en-IN"/>
            <a:t> (</a:t>
          </a:r>
          <a:r>
            <a:rPr lang="en-IN" sz="1100">
              <a:solidFill>
                <a:schemeClr val="dk1"/>
              </a:solidFill>
              <a:latin typeface="+mn-lt"/>
              <a:ea typeface="+mn-ea"/>
              <a:cs typeface="+mn-cs"/>
            </a:rPr>
            <a:t>.12g</a:t>
          </a:r>
          <a:r>
            <a:rPr lang="en-IN"/>
            <a:t> format). Values beyond this threshold — for example numbers exceeding 99</a:t>
          </a:r>
          <a:r>
            <a:rPr lang="en-IN" sz="1100">
              <a:solidFill>
                <a:schemeClr val="dk1"/>
              </a:solidFill>
              <a:latin typeface="+mn-lt"/>
              <a:ea typeface="+mn-ea"/>
              <a:cs typeface="+mn-cs"/>
            </a:rPr>
            <a:t>9,999,999,999</a:t>
          </a:r>
          <a:r>
            <a:rPr lang="en-IN"/>
            <a:t> (12 digits) — may display in scientific notation (</a:t>
          </a:r>
          <a:r>
            <a:rPr lang="en-IN" sz="1100">
              <a:solidFill>
                <a:schemeClr val="dk1"/>
              </a:solidFill>
              <a:latin typeface="+mn-lt"/>
              <a:ea typeface="+mn-ea"/>
              <a:cs typeface="+mn-cs"/>
            </a:rPr>
            <a:t>1e+10</a:t>
          </a:r>
          <a:r>
            <a:rPr lang="en-IN"/>
            <a:t>) due to format string limitations. This is a </a:t>
          </a:r>
          <a:r>
            <a:rPr lang="en-IN" b="1"/>
            <a:t>display limitation, not a calculation error</a:t>
          </a:r>
          <a:r>
            <a:rPr lang="en-IN"/>
            <a:t>. Underlying computation remains accurate.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14</xdr:row>
      <xdr:rowOff>1</xdr:rowOff>
    </xdr:from>
    <xdr:to>
      <xdr:col>14</xdr:col>
      <xdr:colOff>452887</xdr:colOff>
      <xdr:row>21</xdr:row>
      <xdr:rowOff>152401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95A73AF-E232-F245-A5C9-777BD1783BEF}"/>
            </a:ext>
          </a:extLst>
        </xdr:cNvPr>
        <xdr:cNvSpPr txBox="1"/>
      </xdr:nvSpPr>
      <xdr:spPr>
        <a:xfrm>
          <a:off x="15798800" y="3136901"/>
          <a:ext cx="5405887" cy="15748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Notes / Findings:</a:t>
          </a:r>
        </a:p>
        <a:p>
          <a:r>
            <a:rPr lang="en-IN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Discrepancy in Interest Accrual:</a:t>
          </a:r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The observed variance between the application's calculated interest and standardized banking outputs (e.g.</a:t>
          </a:r>
          <a:r>
            <a:rPr lang="en-I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1,049.41 vs. 1,051.63) is attributed to the difference between continuous mathematical compounding and the discrete, periodic compounding used by financial institutions. The application utilizes high-precision floating-point arithmetic for continuous growth, whereas financial institutions implement periodic rounding conventions and specific day-count methodologies (such as 30/360 or Actual/365) at each compounding interval. This is a methodological difference, not a calculation error.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6</xdr:row>
      <xdr:rowOff>1</xdr:rowOff>
    </xdr:from>
    <xdr:to>
      <xdr:col>14</xdr:col>
      <xdr:colOff>454786</xdr:colOff>
      <xdr:row>7</xdr:row>
      <xdr:rowOff>152401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B896181A-02A6-2145-A68D-62918CB60A4C}"/>
            </a:ext>
          </a:extLst>
        </xdr:cNvPr>
        <xdr:cNvSpPr txBox="1"/>
      </xdr:nvSpPr>
      <xdr:spPr>
        <a:xfrm>
          <a:off x="17602200" y="1498601"/>
          <a:ext cx="5407786" cy="1016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b="1"/>
            <a:t>⚠️ Notation Note:</a:t>
          </a:r>
          <a:r>
            <a:rPr lang="en-IN"/>
            <a:t> The displayed results are provided in a programmatic format (e.g., </a:t>
          </a:r>
          <a:r>
            <a:rPr lang="en-IN" sz="1100">
              <a:solidFill>
                <a:schemeClr val="dk1"/>
              </a:solidFill>
              <a:latin typeface="+mn-lt"/>
              <a:ea typeface="+mn-ea"/>
              <a:cs typeface="+mn-cs"/>
            </a:rPr>
            <a:t>ImageSet</a:t>
          </a:r>
          <a:r>
            <a:rPr lang="en-IN"/>
            <a:t>, </a:t>
          </a:r>
          <a:r>
            <a:rPr lang="en-IN" sz="1100">
              <a:solidFill>
                <a:schemeClr val="dk1"/>
              </a:solidFill>
              <a:latin typeface="+mn-lt"/>
              <a:ea typeface="+mn-ea"/>
              <a:cs typeface="+mn-cs"/>
            </a:rPr>
            <a:t>Lambda</a:t>
          </a:r>
          <a:r>
            <a:rPr lang="en-IN"/>
            <a:t>) generated by the internal computer algebra system. While this notation is mathematically complete and accounts for periodic solutions, it is a machine-readable representation. The underlying calculations are accurate; the format is a result of the software's default symbolic output style.</a:t>
          </a:r>
          <a:endParaRPr lang="en-GB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45EF8-A400-294B-9EB4-1F4A8F9DC737}">
  <dimension ref="A1:K34"/>
  <sheetViews>
    <sheetView tabSelected="1" workbookViewId="0">
      <selection activeCell="I27" sqref="I27"/>
    </sheetView>
  </sheetViews>
  <sheetFormatPr baseColWidth="10" defaultRowHeight="16"/>
  <cols>
    <col min="1" max="1" width="10.83203125" style="7" customWidth="1"/>
    <col min="2" max="2" width="23" style="7" customWidth="1"/>
    <col min="3" max="3" width="16.1640625" style="7" customWidth="1"/>
    <col min="4" max="4" width="15.6640625" style="7" customWidth="1"/>
    <col min="5" max="5" width="15.5" style="7" customWidth="1"/>
    <col min="6" max="6" width="13.83203125" style="7" customWidth="1"/>
    <col min="7" max="7" width="14.83203125" style="7" customWidth="1"/>
    <col min="8" max="8" width="14" style="7" customWidth="1"/>
    <col min="9" max="16384" width="10.83203125" style="1"/>
  </cols>
  <sheetData>
    <row r="1" spans="1:11" ht="27" thickBot="1">
      <c r="A1" s="185" t="s">
        <v>888</v>
      </c>
      <c r="B1" s="186"/>
      <c r="C1" s="186"/>
      <c r="D1" s="186"/>
      <c r="E1" s="186"/>
      <c r="F1" s="186"/>
      <c r="G1" s="186"/>
      <c r="H1" s="187"/>
    </row>
    <row r="2" spans="1:11" ht="22" thickBot="1">
      <c r="A2" s="188" t="s">
        <v>1382</v>
      </c>
      <c r="B2" s="189"/>
      <c r="C2" s="189"/>
      <c r="D2" s="189"/>
      <c r="E2" s="189"/>
      <c r="F2" s="189"/>
      <c r="G2" s="189"/>
      <c r="H2" s="190"/>
    </row>
    <row r="3" spans="1:11" ht="17" thickBot="1">
      <c r="A3" s="112" t="s">
        <v>889</v>
      </c>
      <c r="B3" s="113" t="s">
        <v>890</v>
      </c>
      <c r="C3" s="113" t="s">
        <v>891</v>
      </c>
      <c r="D3" s="113" t="s">
        <v>892</v>
      </c>
      <c r="E3" s="113" t="s">
        <v>893</v>
      </c>
      <c r="F3" s="113" t="s">
        <v>894</v>
      </c>
      <c r="G3" s="113" t="s">
        <v>895</v>
      </c>
      <c r="H3" s="114" t="s">
        <v>338</v>
      </c>
      <c r="K3" s="121"/>
    </row>
    <row r="4" spans="1:11">
      <c r="A4" s="131">
        <v>1</v>
      </c>
      <c r="B4" s="132" t="s">
        <v>896</v>
      </c>
      <c r="C4" s="132">
        <v>40</v>
      </c>
      <c r="D4" s="132">
        <v>1</v>
      </c>
      <c r="E4" s="132">
        <v>0</v>
      </c>
      <c r="F4" s="132">
        <v>39</v>
      </c>
      <c r="G4" s="133">
        <f>F4/C4</f>
        <v>0.97499999999999998</v>
      </c>
      <c r="H4" s="134" t="s">
        <v>903</v>
      </c>
      <c r="I4" s="111"/>
    </row>
    <row r="5" spans="1:11">
      <c r="A5" s="135">
        <v>2</v>
      </c>
      <c r="B5" s="115" t="s">
        <v>897</v>
      </c>
      <c r="C5" s="115">
        <v>54</v>
      </c>
      <c r="D5" s="115">
        <v>4</v>
      </c>
      <c r="E5" s="115">
        <v>0</v>
      </c>
      <c r="F5" s="115">
        <v>50</v>
      </c>
      <c r="G5" s="118">
        <f>F5/C5</f>
        <v>0.92592592592592593</v>
      </c>
      <c r="H5" s="136" t="s">
        <v>909</v>
      </c>
    </row>
    <row r="6" spans="1:11">
      <c r="A6" s="137">
        <v>3</v>
      </c>
      <c r="B6" s="116" t="s">
        <v>337</v>
      </c>
      <c r="C6" s="116">
        <v>30</v>
      </c>
      <c r="D6" s="116">
        <v>0</v>
      </c>
      <c r="E6" s="116">
        <v>0</v>
      </c>
      <c r="F6" s="116">
        <v>30</v>
      </c>
      <c r="G6" s="119">
        <f t="shared" ref="G6:G11" si="0">F6/C6</f>
        <v>1</v>
      </c>
      <c r="H6" s="138" t="s">
        <v>903</v>
      </c>
    </row>
    <row r="7" spans="1:11">
      <c r="A7" s="135">
        <v>4</v>
      </c>
      <c r="B7" s="115" t="s">
        <v>338</v>
      </c>
      <c r="C7" s="115">
        <v>60</v>
      </c>
      <c r="D7" s="115">
        <v>3</v>
      </c>
      <c r="E7" s="115">
        <v>1</v>
      </c>
      <c r="F7" s="115">
        <v>56</v>
      </c>
      <c r="G7" s="118">
        <f t="shared" si="0"/>
        <v>0.93333333333333335</v>
      </c>
      <c r="H7" s="136" t="s">
        <v>909</v>
      </c>
    </row>
    <row r="8" spans="1:11">
      <c r="A8" s="135">
        <v>5</v>
      </c>
      <c r="B8" s="115" t="s">
        <v>898</v>
      </c>
      <c r="C8" s="115">
        <v>72</v>
      </c>
      <c r="D8" s="115">
        <v>4</v>
      </c>
      <c r="E8" s="115">
        <v>0</v>
      </c>
      <c r="F8" s="115">
        <v>68</v>
      </c>
      <c r="G8" s="118">
        <f t="shared" si="0"/>
        <v>0.94444444444444442</v>
      </c>
      <c r="H8" s="136" t="s">
        <v>909</v>
      </c>
    </row>
    <row r="9" spans="1:11">
      <c r="A9" s="139">
        <v>6</v>
      </c>
      <c r="B9" s="117" t="s">
        <v>899</v>
      </c>
      <c r="C9" s="117">
        <v>50</v>
      </c>
      <c r="D9" s="117">
        <v>5</v>
      </c>
      <c r="E9" s="117">
        <v>3</v>
      </c>
      <c r="F9" s="117">
        <v>42</v>
      </c>
      <c r="G9" s="120">
        <f t="shared" si="0"/>
        <v>0.84</v>
      </c>
      <c r="H9" s="140" t="s">
        <v>904</v>
      </c>
    </row>
    <row r="10" spans="1:11">
      <c r="A10" s="135">
        <v>7</v>
      </c>
      <c r="B10" s="115" t="s">
        <v>900</v>
      </c>
      <c r="C10" s="115">
        <v>42</v>
      </c>
      <c r="D10" s="115">
        <v>0</v>
      </c>
      <c r="E10" s="115">
        <v>0</v>
      </c>
      <c r="F10" s="115">
        <v>40</v>
      </c>
      <c r="G10" s="118">
        <f t="shared" si="0"/>
        <v>0.95238095238095233</v>
      </c>
      <c r="H10" s="136" t="s">
        <v>909</v>
      </c>
    </row>
    <row r="11" spans="1:11">
      <c r="A11" s="135">
        <v>8</v>
      </c>
      <c r="B11" s="115" t="s">
        <v>901</v>
      </c>
      <c r="C11" s="115">
        <v>40</v>
      </c>
      <c r="D11" s="115">
        <v>3</v>
      </c>
      <c r="E11" s="115">
        <v>0</v>
      </c>
      <c r="F11" s="115">
        <v>37</v>
      </c>
      <c r="G11" s="118">
        <f t="shared" si="0"/>
        <v>0.92500000000000004</v>
      </c>
      <c r="H11" s="136" t="s">
        <v>909</v>
      </c>
    </row>
    <row r="12" spans="1:11" ht="17" thickBot="1">
      <c r="A12" s="141">
        <v>9</v>
      </c>
      <c r="B12" s="142" t="s">
        <v>902</v>
      </c>
      <c r="C12" s="142">
        <v>44</v>
      </c>
      <c r="D12" s="142">
        <v>0</v>
      </c>
      <c r="E12" s="142">
        <v>1</v>
      </c>
      <c r="F12" s="142">
        <v>43</v>
      </c>
      <c r="G12" s="143">
        <f>F12/C12</f>
        <v>0.97727272727272729</v>
      </c>
      <c r="H12" s="144" t="s">
        <v>903</v>
      </c>
    </row>
    <row r="13" spans="1:11" ht="17" thickBot="1">
      <c r="A13" s="177" t="s">
        <v>1381</v>
      </c>
      <c r="B13" s="178"/>
      <c r="C13" s="171">
        <f>SUM(C4:C12)</f>
        <v>432</v>
      </c>
      <c r="D13" s="171">
        <f t="shared" ref="D13:F13" si="1">SUM(D4:D12)</f>
        <v>20</v>
      </c>
      <c r="E13" s="171">
        <f t="shared" si="1"/>
        <v>5</v>
      </c>
      <c r="F13" s="171">
        <f t="shared" si="1"/>
        <v>405</v>
      </c>
      <c r="G13" s="173">
        <f>F13/C13</f>
        <v>0.9375</v>
      </c>
      <c r="H13" s="172" t="s">
        <v>903</v>
      </c>
    </row>
    <row r="14" spans="1:11" ht="17" thickBot="1">
      <c r="A14" s="109"/>
      <c r="B14" s="109"/>
      <c r="C14" s="109"/>
      <c r="D14" s="109"/>
      <c r="E14" s="109"/>
      <c r="F14" s="109"/>
      <c r="G14" s="109"/>
      <c r="H14" s="109"/>
    </row>
    <row r="15" spans="1:11" ht="22" thickBot="1">
      <c r="A15" s="174" t="s">
        <v>905</v>
      </c>
      <c r="B15" s="175"/>
      <c r="C15" s="175"/>
      <c r="D15" s="175"/>
      <c r="E15" s="175"/>
      <c r="F15" s="175"/>
      <c r="G15" s="175"/>
      <c r="H15" s="176"/>
    </row>
    <row r="16" spans="1:11">
      <c r="A16" s="193" t="s">
        <v>906</v>
      </c>
      <c r="B16" s="194"/>
      <c r="C16" s="179" t="s">
        <v>910</v>
      </c>
      <c r="D16" s="179"/>
      <c r="E16" s="179"/>
      <c r="F16" s="179"/>
      <c r="G16" s="179"/>
      <c r="H16" s="180"/>
    </row>
    <row r="17" spans="1:8" ht="16" customHeight="1">
      <c r="A17" s="195" t="s">
        <v>907</v>
      </c>
      <c r="B17" s="196"/>
      <c r="C17" s="181" t="s">
        <v>911</v>
      </c>
      <c r="D17" s="181"/>
      <c r="E17" s="181"/>
      <c r="F17" s="181"/>
      <c r="G17" s="181"/>
      <c r="H17" s="182"/>
    </row>
    <row r="18" spans="1:8">
      <c r="A18" s="197" t="s">
        <v>894</v>
      </c>
      <c r="B18" s="198"/>
      <c r="C18" s="181" t="s">
        <v>912</v>
      </c>
      <c r="D18" s="181"/>
      <c r="E18" s="181"/>
      <c r="F18" s="181"/>
      <c r="G18" s="181"/>
      <c r="H18" s="182"/>
    </row>
    <row r="19" spans="1:8">
      <c r="A19" s="199" t="s">
        <v>904</v>
      </c>
      <c r="B19" s="200"/>
      <c r="C19" s="181" t="s">
        <v>913</v>
      </c>
      <c r="D19" s="181"/>
      <c r="E19" s="181"/>
      <c r="F19" s="181"/>
      <c r="G19" s="181"/>
      <c r="H19" s="182"/>
    </row>
    <row r="20" spans="1:8" ht="30" customHeight="1">
      <c r="A20" s="201" t="s">
        <v>908</v>
      </c>
      <c r="B20" s="202"/>
      <c r="C20" s="181" t="s">
        <v>914</v>
      </c>
      <c r="D20" s="181"/>
      <c r="E20" s="181"/>
      <c r="F20" s="181"/>
      <c r="G20" s="181"/>
      <c r="H20" s="182"/>
    </row>
    <row r="21" spans="1:8">
      <c r="A21" s="203" t="s">
        <v>909</v>
      </c>
      <c r="B21" s="204"/>
      <c r="C21" s="181" t="s">
        <v>915</v>
      </c>
      <c r="D21" s="181"/>
      <c r="E21" s="181"/>
      <c r="F21" s="181"/>
      <c r="G21" s="181"/>
      <c r="H21" s="182"/>
    </row>
    <row r="22" spans="1:8" ht="17" thickBot="1">
      <c r="A22" s="183" t="s">
        <v>903</v>
      </c>
      <c r="B22" s="184"/>
      <c r="C22" s="191" t="s">
        <v>916</v>
      </c>
      <c r="D22" s="191"/>
      <c r="E22" s="191"/>
      <c r="F22" s="191"/>
      <c r="G22" s="191"/>
      <c r="H22" s="192"/>
    </row>
    <row r="23" spans="1:8">
      <c r="C23" s="71"/>
      <c r="D23" s="72"/>
      <c r="E23" s="72"/>
      <c r="F23" s="72"/>
      <c r="G23" s="72"/>
      <c r="H23" s="73"/>
    </row>
    <row r="25" spans="1:8">
      <c r="B25"/>
      <c r="C25"/>
      <c r="D25"/>
      <c r="F25" s="74"/>
    </row>
    <row r="26" spans="1:8">
      <c r="B26"/>
      <c r="C26"/>
      <c r="D26"/>
    </row>
    <row r="27" spans="1:8">
      <c r="B27"/>
      <c r="C27"/>
      <c r="D27"/>
    </row>
    <row r="28" spans="1:8">
      <c r="B28"/>
      <c r="C28"/>
      <c r="D28"/>
    </row>
    <row r="29" spans="1:8">
      <c r="B29"/>
      <c r="C29"/>
      <c r="D29"/>
    </row>
    <row r="30" spans="1:8">
      <c r="B30"/>
      <c r="C30"/>
      <c r="D30"/>
    </row>
    <row r="31" spans="1:8">
      <c r="B31"/>
      <c r="C31"/>
      <c r="D31"/>
    </row>
    <row r="32" spans="1:8">
      <c r="B32"/>
      <c r="C32"/>
      <c r="D32"/>
    </row>
    <row r="33" spans="2:4">
      <c r="B33"/>
      <c r="C33"/>
      <c r="D33"/>
    </row>
    <row r="34" spans="2:4">
      <c r="B34"/>
      <c r="C34"/>
      <c r="D34"/>
    </row>
  </sheetData>
  <mergeCells count="18">
    <mergeCell ref="A22:B22"/>
    <mergeCell ref="A1:H1"/>
    <mergeCell ref="A2:H2"/>
    <mergeCell ref="C19:H19"/>
    <mergeCell ref="C20:H20"/>
    <mergeCell ref="C21:H21"/>
    <mergeCell ref="C22:H22"/>
    <mergeCell ref="A16:B16"/>
    <mergeCell ref="A17:B17"/>
    <mergeCell ref="A18:B18"/>
    <mergeCell ref="A19:B19"/>
    <mergeCell ref="A20:B20"/>
    <mergeCell ref="A21:B21"/>
    <mergeCell ref="A15:H15"/>
    <mergeCell ref="A13:B13"/>
    <mergeCell ref="C16:H16"/>
    <mergeCell ref="C17:H17"/>
    <mergeCell ref="C18:H1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8D0F2-8FC5-B244-B127-ECDDF3937617}">
  <dimension ref="A1:J38"/>
  <sheetViews>
    <sheetView zoomScaleNormal="100" workbookViewId="0">
      <selection activeCell="F4" sqref="F4"/>
    </sheetView>
  </sheetViews>
  <sheetFormatPr baseColWidth="10" defaultRowHeight="16"/>
  <cols>
    <col min="1" max="1" width="10.83203125" style="7"/>
    <col min="2" max="2" width="25" style="7" bestFit="1" customWidth="1"/>
    <col min="3" max="3" width="10.83203125" style="7"/>
    <col min="4" max="4" width="47.5" style="7" bestFit="1" customWidth="1"/>
    <col min="5" max="5" width="53.83203125" style="7" bestFit="1" customWidth="1"/>
    <col min="6" max="6" width="13.83203125" style="7" customWidth="1"/>
    <col min="7" max="16384" width="10.83203125" style="1"/>
  </cols>
  <sheetData>
    <row r="1" spans="1:10" ht="22" thickBot="1">
      <c r="A1" s="205" t="s">
        <v>917</v>
      </c>
      <c r="B1" s="206"/>
      <c r="C1" s="206"/>
      <c r="D1" s="206"/>
      <c r="E1" s="206"/>
      <c r="F1" s="207"/>
    </row>
    <row r="2" spans="1:10" ht="17" thickBot="1">
      <c r="A2" s="87" t="s">
        <v>918</v>
      </c>
      <c r="B2" s="88" t="s">
        <v>919</v>
      </c>
      <c r="C2" s="88" t="s">
        <v>920</v>
      </c>
      <c r="D2" s="88" t="s">
        <v>921</v>
      </c>
      <c r="E2" s="88" t="s">
        <v>922</v>
      </c>
      <c r="F2" s="89" t="s">
        <v>0</v>
      </c>
    </row>
    <row r="3" spans="1:10">
      <c r="A3" s="122">
        <v>1</v>
      </c>
      <c r="B3" s="123" t="s">
        <v>896</v>
      </c>
      <c r="C3" s="123" t="s">
        <v>906</v>
      </c>
      <c r="D3" s="123" t="s">
        <v>944</v>
      </c>
      <c r="E3" s="123" t="s">
        <v>972</v>
      </c>
      <c r="F3" s="124" t="s">
        <v>1379</v>
      </c>
    </row>
    <row r="4" spans="1:10" ht="17">
      <c r="A4" s="122">
        <v>2</v>
      </c>
      <c r="B4" s="123" t="s">
        <v>897</v>
      </c>
      <c r="C4" s="123" t="s">
        <v>906</v>
      </c>
      <c r="D4" s="123" t="s">
        <v>1226</v>
      </c>
      <c r="E4" s="123" t="s">
        <v>165</v>
      </c>
      <c r="F4" s="124" t="s">
        <v>1379</v>
      </c>
    </row>
    <row r="5" spans="1:10" ht="17">
      <c r="A5" s="122">
        <v>3</v>
      </c>
      <c r="B5" s="123" t="s">
        <v>897</v>
      </c>
      <c r="C5" s="123" t="s">
        <v>906</v>
      </c>
      <c r="D5" s="123" t="s">
        <v>1227</v>
      </c>
      <c r="E5" s="123" t="s">
        <v>166</v>
      </c>
      <c r="F5" s="124" t="s">
        <v>1379</v>
      </c>
    </row>
    <row r="6" spans="1:10" ht="17">
      <c r="A6" s="122">
        <v>4</v>
      </c>
      <c r="B6" s="123" t="s">
        <v>897</v>
      </c>
      <c r="C6" s="123" t="s">
        <v>906</v>
      </c>
      <c r="D6" s="123" t="s">
        <v>1228</v>
      </c>
      <c r="E6" s="123" t="s">
        <v>165</v>
      </c>
      <c r="F6" s="124" t="s">
        <v>1379</v>
      </c>
    </row>
    <row r="7" spans="1:10" ht="17">
      <c r="A7" s="122">
        <v>5</v>
      </c>
      <c r="B7" s="123" t="s">
        <v>897</v>
      </c>
      <c r="C7" s="123" t="s">
        <v>906</v>
      </c>
      <c r="D7" s="123" t="s">
        <v>1229</v>
      </c>
      <c r="E7" s="123" t="s">
        <v>167</v>
      </c>
      <c r="F7" s="124" t="s">
        <v>1379</v>
      </c>
    </row>
    <row r="8" spans="1:10" ht="18" thickBot="1">
      <c r="A8" s="122">
        <v>6</v>
      </c>
      <c r="B8" s="123" t="s">
        <v>1047</v>
      </c>
      <c r="C8" s="123" t="s">
        <v>906</v>
      </c>
      <c r="D8" s="123" t="s">
        <v>1230</v>
      </c>
      <c r="E8" s="123" t="s">
        <v>1045</v>
      </c>
      <c r="F8" s="124" t="s">
        <v>1379</v>
      </c>
    </row>
    <row r="9" spans="1:10" ht="18" thickBot="1">
      <c r="A9" s="125">
        <v>7</v>
      </c>
      <c r="B9" s="126" t="s">
        <v>1047</v>
      </c>
      <c r="C9" s="126" t="s">
        <v>907</v>
      </c>
      <c r="D9" s="126" t="s">
        <v>1231</v>
      </c>
      <c r="E9" s="126" t="s">
        <v>1046</v>
      </c>
      <c r="F9" s="127" t="s">
        <v>1379</v>
      </c>
      <c r="J9"/>
    </row>
    <row r="10" spans="1:10" ht="17">
      <c r="A10" s="122">
        <v>8</v>
      </c>
      <c r="B10" s="123" t="s">
        <v>1378</v>
      </c>
      <c r="C10" s="123" t="s">
        <v>906</v>
      </c>
      <c r="D10" s="123" t="s">
        <v>1232</v>
      </c>
      <c r="E10" s="123" t="s">
        <v>1044</v>
      </c>
      <c r="F10" s="124" t="s">
        <v>1379</v>
      </c>
    </row>
    <row r="11" spans="1:10">
      <c r="A11" s="122">
        <v>9</v>
      </c>
      <c r="B11" s="123" t="s">
        <v>1048</v>
      </c>
      <c r="C11" s="123" t="s">
        <v>906</v>
      </c>
      <c r="D11" s="123" t="s">
        <v>331</v>
      </c>
      <c r="E11" s="123" t="s">
        <v>349</v>
      </c>
      <c r="F11" s="124" t="s">
        <v>1379</v>
      </c>
    </row>
    <row r="12" spans="1:10">
      <c r="A12" s="122">
        <v>10</v>
      </c>
      <c r="B12" s="123" t="s">
        <v>1055</v>
      </c>
      <c r="C12" s="123" t="s">
        <v>906</v>
      </c>
      <c r="D12" s="123" t="s">
        <v>356</v>
      </c>
      <c r="E12" s="123" t="s">
        <v>1063</v>
      </c>
      <c r="F12" s="124" t="s">
        <v>1379</v>
      </c>
    </row>
    <row r="13" spans="1:10">
      <c r="A13" s="122">
        <v>11</v>
      </c>
      <c r="B13" s="123" t="s">
        <v>1055</v>
      </c>
      <c r="C13" s="123" t="s">
        <v>906</v>
      </c>
      <c r="D13" s="123" t="s">
        <v>373</v>
      </c>
      <c r="E13" s="123" t="s">
        <v>1064</v>
      </c>
      <c r="F13" s="124" t="s">
        <v>1379</v>
      </c>
    </row>
    <row r="14" spans="1:10">
      <c r="A14" s="122">
        <v>12</v>
      </c>
      <c r="B14" s="123" t="s">
        <v>1056</v>
      </c>
      <c r="C14" s="123" t="s">
        <v>906</v>
      </c>
      <c r="D14" s="123" t="s">
        <v>389</v>
      </c>
      <c r="E14" s="123" t="s">
        <v>1065</v>
      </c>
      <c r="F14" s="124" t="s">
        <v>1379</v>
      </c>
    </row>
    <row r="15" spans="1:10">
      <c r="A15" s="122">
        <v>13</v>
      </c>
      <c r="B15" s="123" t="s">
        <v>1058</v>
      </c>
      <c r="C15" s="123" t="s">
        <v>906</v>
      </c>
      <c r="D15" s="123" t="s">
        <v>470</v>
      </c>
      <c r="E15" s="123" t="s">
        <v>1057</v>
      </c>
      <c r="F15" s="124" t="s">
        <v>1379</v>
      </c>
    </row>
    <row r="16" spans="1:10" ht="32">
      <c r="A16" s="122">
        <v>14</v>
      </c>
      <c r="B16" s="123" t="s">
        <v>1111</v>
      </c>
      <c r="C16" s="123" t="s">
        <v>906</v>
      </c>
      <c r="D16" s="123" t="s">
        <v>1233</v>
      </c>
      <c r="E16" s="123" t="s">
        <v>886</v>
      </c>
      <c r="F16" s="124" t="s">
        <v>1379</v>
      </c>
    </row>
    <row r="17" spans="1:6" ht="33" thickBot="1">
      <c r="A17" s="122">
        <v>15</v>
      </c>
      <c r="B17" s="123" t="s">
        <v>1111</v>
      </c>
      <c r="C17" s="123" t="s">
        <v>906</v>
      </c>
      <c r="D17" s="123" t="s">
        <v>1234</v>
      </c>
      <c r="E17" s="123" t="s">
        <v>887</v>
      </c>
      <c r="F17" s="124" t="s">
        <v>1379</v>
      </c>
    </row>
    <row r="18" spans="1:6" ht="18" thickBot="1">
      <c r="A18" s="125">
        <v>16</v>
      </c>
      <c r="B18" s="126" t="s">
        <v>1111</v>
      </c>
      <c r="C18" s="126" t="s">
        <v>907</v>
      </c>
      <c r="D18" s="126" t="s">
        <v>1235</v>
      </c>
      <c r="E18" s="126" t="s">
        <v>1236</v>
      </c>
      <c r="F18" s="127" t="s">
        <v>1379</v>
      </c>
    </row>
    <row r="19" spans="1:6">
      <c r="A19" s="122">
        <v>17</v>
      </c>
      <c r="B19" s="123" t="s">
        <v>1111</v>
      </c>
      <c r="C19" s="123" t="s">
        <v>906</v>
      </c>
      <c r="D19" s="123" t="s">
        <v>484</v>
      </c>
      <c r="E19" s="123" t="s">
        <v>1108</v>
      </c>
      <c r="F19" s="124" t="s">
        <v>1379</v>
      </c>
    </row>
    <row r="20" spans="1:6" ht="18" thickBot="1">
      <c r="A20" s="122">
        <v>18</v>
      </c>
      <c r="B20" s="123" t="s">
        <v>1111</v>
      </c>
      <c r="C20" s="123" t="s">
        <v>906</v>
      </c>
      <c r="D20" s="123" t="s">
        <v>1237</v>
      </c>
      <c r="E20" s="123" t="s">
        <v>1109</v>
      </c>
      <c r="F20" s="124" t="s">
        <v>1379</v>
      </c>
    </row>
    <row r="21" spans="1:6" ht="17" thickBot="1">
      <c r="A21" s="125">
        <v>19</v>
      </c>
      <c r="B21" s="126" t="s">
        <v>1111</v>
      </c>
      <c r="C21" s="126" t="s">
        <v>907</v>
      </c>
      <c r="D21" s="126" t="s">
        <v>546</v>
      </c>
      <c r="E21" s="126" t="s">
        <v>1110</v>
      </c>
      <c r="F21" s="127" t="s">
        <v>1379</v>
      </c>
    </row>
    <row r="22" spans="1:6" ht="18" thickBot="1">
      <c r="A22" s="122">
        <v>20</v>
      </c>
      <c r="B22" s="123" t="s">
        <v>1112</v>
      </c>
      <c r="C22" s="123" t="s">
        <v>906</v>
      </c>
      <c r="D22" s="123" t="s">
        <v>1238</v>
      </c>
      <c r="E22" s="123" t="s">
        <v>1239</v>
      </c>
      <c r="F22" s="124" t="s">
        <v>1379</v>
      </c>
    </row>
    <row r="23" spans="1:6" ht="17" thickBot="1">
      <c r="A23" s="125">
        <v>21</v>
      </c>
      <c r="B23" s="126" t="s">
        <v>1112</v>
      </c>
      <c r="C23" s="126" t="s">
        <v>907</v>
      </c>
      <c r="D23" s="126" t="s">
        <v>593</v>
      </c>
      <c r="E23" s="126" t="s">
        <v>1107</v>
      </c>
      <c r="F23" s="127" t="s">
        <v>1379</v>
      </c>
    </row>
    <row r="24" spans="1:6" ht="17">
      <c r="A24" s="122">
        <v>22</v>
      </c>
      <c r="B24" s="123" t="s">
        <v>1092</v>
      </c>
      <c r="C24" s="123" t="s">
        <v>906</v>
      </c>
      <c r="D24" s="123" t="s">
        <v>1240</v>
      </c>
      <c r="E24" s="123" t="s">
        <v>1241</v>
      </c>
      <c r="F24" s="124" t="s">
        <v>1379</v>
      </c>
    </row>
    <row r="25" spans="1:6" ht="17">
      <c r="A25" s="122">
        <v>23</v>
      </c>
      <c r="B25" s="123" t="s">
        <v>1092</v>
      </c>
      <c r="C25" s="123" t="s">
        <v>906</v>
      </c>
      <c r="D25" s="123" t="s">
        <v>1242</v>
      </c>
      <c r="E25" s="123" t="s">
        <v>1093</v>
      </c>
      <c r="F25" s="124" t="s">
        <v>1379</v>
      </c>
    </row>
    <row r="26" spans="1:6" ht="18" thickBot="1">
      <c r="A26" s="128">
        <v>24</v>
      </c>
      <c r="B26" s="129" t="s">
        <v>1092</v>
      </c>
      <c r="C26" s="129" t="s">
        <v>906</v>
      </c>
      <c r="D26" s="129" t="s">
        <v>680</v>
      </c>
      <c r="E26" s="129" t="s">
        <v>1243</v>
      </c>
      <c r="F26" s="130" t="s">
        <v>1379</v>
      </c>
    </row>
    <row r="27" spans="1:6" ht="18" thickBot="1">
      <c r="A27" s="125">
        <v>25</v>
      </c>
      <c r="B27" s="126" t="s">
        <v>1080</v>
      </c>
      <c r="C27" s="126" t="s">
        <v>907</v>
      </c>
      <c r="D27" s="126" t="s">
        <v>1244</v>
      </c>
      <c r="E27" s="126" t="s">
        <v>792</v>
      </c>
      <c r="F27" s="127" t="s">
        <v>1379</v>
      </c>
    </row>
    <row r="29" spans="1:6">
      <c r="F29" s="7" t="s">
        <v>1380</v>
      </c>
    </row>
    <row r="31" spans="1:6">
      <c r="E31" s="1"/>
      <c r="F31" s="1"/>
    </row>
    <row r="32" spans="1:6">
      <c r="B32" s="1"/>
    </row>
    <row r="33" spans="2:2">
      <c r="B33" s="1"/>
    </row>
    <row r="34" spans="2:2">
      <c r="B34" s="1"/>
    </row>
    <row r="35" spans="2:2">
      <c r="B35" s="1"/>
    </row>
    <row r="36" spans="2:2">
      <c r="B36" s="1"/>
    </row>
    <row r="38" spans="2:2">
      <c r="B38" s="1"/>
    </row>
  </sheetData>
  <mergeCells count="1">
    <mergeCell ref="A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3B151-56E2-0B45-89FF-60255F6BAB7C}">
  <dimension ref="A1:Q29"/>
  <sheetViews>
    <sheetView zoomScale="83" zoomScaleNormal="100" workbookViewId="0">
      <selection activeCell="D41" sqref="D41"/>
    </sheetView>
  </sheetViews>
  <sheetFormatPr baseColWidth="10" defaultRowHeight="16"/>
  <cols>
    <col min="1" max="11" width="27.83203125" customWidth="1"/>
  </cols>
  <sheetData>
    <row r="1" spans="1:17" ht="43" customHeight="1" thickBot="1">
      <c r="A1" s="217" t="s">
        <v>928</v>
      </c>
      <c r="B1" s="218"/>
      <c r="C1" s="218"/>
      <c r="D1" s="218"/>
      <c r="E1" s="218"/>
      <c r="F1" s="218"/>
      <c r="G1" s="218"/>
      <c r="H1" s="218"/>
      <c r="I1" s="219"/>
    </row>
    <row r="2" spans="1:17" ht="25" thickBot="1">
      <c r="A2" s="220" t="s">
        <v>1176</v>
      </c>
      <c r="B2" s="221"/>
      <c r="C2" s="90" t="s">
        <v>1177</v>
      </c>
      <c r="D2" s="90" t="s">
        <v>1180</v>
      </c>
      <c r="E2" s="90" t="s">
        <v>1181</v>
      </c>
      <c r="F2" s="90" t="s">
        <v>1182</v>
      </c>
      <c r="G2" s="90" t="s">
        <v>923</v>
      </c>
      <c r="H2" s="90" t="s">
        <v>1178</v>
      </c>
      <c r="I2" s="90" t="s">
        <v>1179</v>
      </c>
      <c r="K2" s="83"/>
      <c r="L2" s="83"/>
      <c r="M2" s="83"/>
      <c r="N2" s="83"/>
      <c r="O2" s="83"/>
      <c r="P2" s="83"/>
      <c r="Q2" s="83"/>
    </row>
    <row r="3" spans="1:17" ht="25" thickBot="1">
      <c r="A3" s="222">
        <v>25</v>
      </c>
      <c r="B3" s="223"/>
      <c r="C3" s="91">
        <v>3</v>
      </c>
      <c r="D3" s="91">
        <v>9</v>
      </c>
      <c r="E3" s="91">
        <v>10</v>
      </c>
      <c r="F3" s="91">
        <v>3</v>
      </c>
      <c r="G3" s="91">
        <v>0</v>
      </c>
      <c r="H3" s="91">
        <v>0</v>
      </c>
      <c r="I3" s="92">
        <v>25</v>
      </c>
      <c r="K3" s="78"/>
      <c r="L3" s="79"/>
      <c r="M3" s="75"/>
      <c r="N3" s="76"/>
      <c r="O3" s="77"/>
      <c r="P3" s="75"/>
      <c r="Q3" s="76"/>
    </row>
    <row r="4" spans="1:17" ht="18" thickBot="1">
      <c r="A4" s="3" t="s">
        <v>889</v>
      </c>
      <c r="B4" s="6" t="s">
        <v>1113</v>
      </c>
      <c r="C4" s="4" t="s">
        <v>929</v>
      </c>
      <c r="D4" s="4" t="s">
        <v>890</v>
      </c>
      <c r="E4" s="214" t="s">
        <v>930</v>
      </c>
      <c r="F4" s="215"/>
      <c r="G4" s="216"/>
      <c r="H4" s="4" t="s">
        <v>931</v>
      </c>
      <c r="I4" s="5" t="s">
        <v>932</v>
      </c>
      <c r="L4" s="79"/>
      <c r="M4" s="75"/>
      <c r="N4" s="76"/>
      <c r="O4" s="77"/>
      <c r="P4" s="75"/>
      <c r="Q4" s="76"/>
    </row>
    <row r="5" spans="1:17" ht="17">
      <c r="A5" s="98">
        <v>1</v>
      </c>
      <c r="B5" s="84" t="s">
        <v>1114</v>
      </c>
      <c r="C5" s="84" t="s">
        <v>933</v>
      </c>
      <c r="D5" s="96" t="s">
        <v>1139</v>
      </c>
      <c r="E5" s="230" t="s">
        <v>1140</v>
      </c>
      <c r="F5" s="231"/>
      <c r="G5" s="231"/>
      <c r="H5" s="84" t="s">
        <v>1141</v>
      </c>
      <c r="I5" s="99" t="s">
        <v>1379</v>
      </c>
      <c r="L5" s="80"/>
      <c r="M5" s="75"/>
      <c r="N5" s="76"/>
      <c r="O5" s="77"/>
      <c r="P5" s="75"/>
      <c r="Q5" s="76"/>
    </row>
    <row r="6" spans="1:17" ht="18" customHeight="1">
      <c r="A6" s="85">
        <v>2</v>
      </c>
      <c r="B6" s="2" t="s">
        <v>1115</v>
      </c>
      <c r="C6" s="2" t="s">
        <v>933</v>
      </c>
      <c r="D6" s="97" t="s">
        <v>1142</v>
      </c>
      <c r="E6" s="232" t="s">
        <v>1143</v>
      </c>
      <c r="F6" s="233"/>
      <c r="G6" s="233"/>
      <c r="H6" s="2" t="s">
        <v>1141</v>
      </c>
      <c r="I6" s="86" t="s">
        <v>1379</v>
      </c>
      <c r="L6" s="80"/>
      <c r="M6" s="75"/>
      <c r="N6" s="76"/>
      <c r="O6" s="77"/>
      <c r="P6" s="75"/>
      <c r="Q6" s="76"/>
    </row>
    <row r="7" spans="1:17" ht="18" customHeight="1">
      <c r="A7" s="85">
        <v>3</v>
      </c>
      <c r="B7" s="2" t="s">
        <v>1116</v>
      </c>
      <c r="C7" s="2" t="s">
        <v>933</v>
      </c>
      <c r="D7" s="97" t="s">
        <v>1142</v>
      </c>
      <c r="E7" s="232" t="s">
        <v>1144</v>
      </c>
      <c r="F7" s="233"/>
      <c r="G7" s="233"/>
      <c r="H7" s="2" t="s">
        <v>1141</v>
      </c>
      <c r="I7" s="86" t="s">
        <v>1379</v>
      </c>
      <c r="L7" s="80"/>
      <c r="M7" s="75"/>
      <c r="N7" s="76"/>
      <c r="O7" s="77"/>
      <c r="P7" s="75"/>
      <c r="Q7" s="76"/>
    </row>
    <row r="8" spans="1:17" ht="18" customHeight="1">
      <c r="A8" s="100">
        <v>4</v>
      </c>
      <c r="B8" s="94" t="s">
        <v>1117</v>
      </c>
      <c r="C8" s="94" t="s">
        <v>934</v>
      </c>
      <c r="D8" s="94" t="s">
        <v>897</v>
      </c>
      <c r="E8" s="234" t="s">
        <v>1145</v>
      </c>
      <c r="F8" s="235"/>
      <c r="G8" s="236"/>
      <c r="H8" s="94" t="s">
        <v>1141</v>
      </c>
      <c r="I8" s="101" t="s">
        <v>1379</v>
      </c>
      <c r="L8" s="80"/>
      <c r="M8" s="75"/>
      <c r="N8" s="76"/>
      <c r="O8" s="77"/>
      <c r="P8" s="75"/>
      <c r="Q8" s="76"/>
    </row>
    <row r="9" spans="1:17" ht="18" customHeight="1">
      <c r="A9" s="100">
        <v>5</v>
      </c>
      <c r="B9" s="94" t="s">
        <v>1118</v>
      </c>
      <c r="C9" s="94" t="s">
        <v>934</v>
      </c>
      <c r="D9" s="94" t="s">
        <v>897</v>
      </c>
      <c r="E9" s="227" t="s">
        <v>1146</v>
      </c>
      <c r="F9" s="228"/>
      <c r="G9" s="229"/>
      <c r="H9" s="94" t="s">
        <v>1141</v>
      </c>
      <c r="I9" s="101" t="s">
        <v>1379</v>
      </c>
      <c r="L9" s="80"/>
      <c r="M9" s="75"/>
      <c r="N9" s="76"/>
      <c r="O9" s="77"/>
      <c r="P9" s="75"/>
      <c r="Q9" s="76"/>
    </row>
    <row r="10" spans="1:17" ht="18" customHeight="1">
      <c r="A10" s="100">
        <v>6</v>
      </c>
      <c r="B10" s="94" t="s">
        <v>1119</v>
      </c>
      <c r="C10" s="94" t="s">
        <v>934</v>
      </c>
      <c r="D10" s="94" t="s">
        <v>897</v>
      </c>
      <c r="E10" s="227" t="s">
        <v>1147</v>
      </c>
      <c r="F10" s="228"/>
      <c r="G10" s="229"/>
      <c r="H10" s="94" t="s">
        <v>1141</v>
      </c>
      <c r="I10" s="101" t="s">
        <v>1379</v>
      </c>
      <c r="L10" s="80"/>
      <c r="M10" s="75"/>
      <c r="N10" s="76"/>
      <c r="O10" s="77"/>
      <c r="P10" s="75"/>
      <c r="Q10" s="76"/>
    </row>
    <row r="11" spans="1:17" ht="18" customHeight="1">
      <c r="A11" s="100">
        <v>7</v>
      </c>
      <c r="B11" s="94" t="s">
        <v>1120</v>
      </c>
      <c r="C11" s="94" t="s">
        <v>934</v>
      </c>
      <c r="D11" s="94" t="s">
        <v>1148</v>
      </c>
      <c r="E11" s="227" t="s">
        <v>1149</v>
      </c>
      <c r="F11" s="228"/>
      <c r="G11" s="229"/>
      <c r="H11" s="94" t="s">
        <v>1150</v>
      </c>
      <c r="I11" s="101" t="s">
        <v>1379</v>
      </c>
      <c r="L11" s="80"/>
      <c r="M11" s="75"/>
      <c r="N11" s="76"/>
      <c r="O11" s="77"/>
      <c r="P11" s="75"/>
      <c r="Q11" s="76"/>
    </row>
    <row r="12" spans="1:17" ht="18" customHeight="1">
      <c r="A12" s="100">
        <v>8</v>
      </c>
      <c r="B12" s="94" t="s">
        <v>1121</v>
      </c>
      <c r="C12" s="94" t="s">
        <v>934</v>
      </c>
      <c r="D12" s="94" t="s">
        <v>1151</v>
      </c>
      <c r="E12" s="227" t="s">
        <v>1152</v>
      </c>
      <c r="F12" s="228"/>
      <c r="G12" s="229"/>
      <c r="H12" s="94" t="s">
        <v>1150</v>
      </c>
      <c r="I12" s="101" t="s">
        <v>1379</v>
      </c>
      <c r="L12" s="80"/>
      <c r="M12" s="75"/>
      <c r="N12" s="76"/>
      <c r="O12" s="77"/>
      <c r="P12" s="75"/>
      <c r="Q12" s="76"/>
    </row>
    <row r="13" spans="1:17" ht="18" customHeight="1">
      <c r="A13" s="100">
        <v>9</v>
      </c>
      <c r="B13" s="94" t="s">
        <v>1122</v>
      </c>
      <c r="C13" s="94" t="s">
        <v>934</v>
      </c>
      <c r="D13" s="94" t="s">
        <v>1153</v>
      </c>
      <c r="E13" s="227" t="s">
        <v>1154</v>
      </c>
      <c r="F13" s="228"/>
      <c r="G13" s="229"/>
      <c r="H13" s="94" t="s">
        <v>1150</v>
      </c>
      <c r="I13" s="101" t="s">
        <v>1379</v>
      </c>
      <c r="L13" s="80"/>
      <c r="M13" s="75"/>
      <c r="N13" s="76"/>
      <c r="O13" s="77"/>
      <c r="P13" s="75"/>
      <c r="Q13" s="76"/>
    </row>
    <row r="14" spans="1:17" ht="18" customHeight="1">
      <c r="A14" s="100">
        <v>10</v>
      </c>
      <c r="B14" s="94" t="s">
        <v>1123</v>
      </c>
      <c r="C14" s="94" t="s">
        <v>934</v>
      </c>
      <c r="D14" s="94" t="s">
        <v>1142</v>
      </c>
      <c r="E14" s="227" t="s">
        <v>1155</v>
      </c>
      <c r="F14" s="228"/>
      <c r="G14" s="229"/>
      <c r="H14" s="94" t="s">
        <v>1150</v>
      </c>
      <c r="I14" s="101" t="s">
        <v>1379</v>
      </c>
      <c r="L14" s="81"/>
      <c r="M14" s="75"/>
      <c r="N14" s="76"/>
      <c r="O14" s="77"/>
      <c r="P14" s="75"/>
      <c r="Q14" s="76"/>
    </row>
    <row r="15" spans="1:17" ht="18" customHeight="1">
      <c r="A15" s="100">
        <v>11</v>
      </c>
      <c r="B15" s="94" t="s">
        <v>1124</v>
      </c>
      <c r="C15" s="94" t="s">
        <v>934</v>
      </c>
      <c r="D15" s="94" t="s">
        <v>1156</v>
      </c>
      <c r="E15" s="227" t="s">
        <v>1157</v>
      </c>
      <c r="F15" s="228"/>
      <c r="G15" s="229"/>
      <c r="H15" s="94" t="s">
        <v>1150</v>
      </c>
      <c r="I15" s="101" t="s">
        <v>1379</v>
      </c>
      <c r="L15" s="81"/>
      <c r="M15" s="75"/>
      <c r="N15" s="76"/>
      <c r="O15" s="77"/>
      <c r="P15" s="75"/>
      <c r="Q15" s="76"/>
    </row>
    <row r="16" spans="1:17" ht="18" customHeight="1">
      <c r="A16" s="100">
        <v>12</v>
      </c>
      <c r="B16" s="94" t="s">
        <v>1125</v>
      </c>
      <c r="C16" s="94" t="s">
        <v>934</v>
      </c>
      <c r="D16" s="94" t="s">
        <v>1158</v>
      </c>
      <c r="E16" s="227" t="s">
        <v>1159</v>
      </c>
      <c r="F16" s="228"/>
      <c r="G16" s="229"/>
      <c r="H16" s="94" t="s">
        <v>1141</v>
      </c>
      <c r="I16" s="101" t="s">
        <v>1379</v>
      </c>
      <c r="L16" s="81"/>
      <c r="M16" s="75"/>
      <c r="N16" s="76"/>
      <c r="O16" s="77"/>
      <c r="P16" s="75"/>
      <c r="Q16" s="76"/>
    </row>
    <row r="17" spans="1:17" ht="18" customHeight="1">
      <c r="A17" s="102">
        <v>13</v>
      </c>
      <c r="B17" s="95" t="s">
        <v>1126</v>
      </c>
      <c r="C17" s="95" t="s">
        <v>935</v>
      </c>
      <c r="D17" s="95" t="s">
        <v>896</v>
      </c>
      <c r="E17" s="224" t="s">
        <v>1160</v>
      </c>
      <c r="F17" s="225"/>
      <c r="G17" s="226"/>
      <c r="H17" s="95" t="s">
        <v>1150</v>
      </c>
      <c r="I17" s="103" t="s">
        <v>1379</v>
      </c>
      <c r="L17" s="81"/>
      <c r="M17" s="75"/>
      <c r="N17" s="76"/>
      <c r="O17" s="77"/>
      <c r="P17" s="75"/>
      <c r="Q17" s="76"/>
    </row>
    <row r="18" spans="1:17" ht="18" customHeight="1">
      <c r="A18" s="102">
        <v>14</v>
      </c>
      <c r="B18" s="95" t="s">
        <v>1127</v>
      </c>
      <c r="C18" s="95" t="s">
        <v>935</v>
      </c>
      <c r="D18" s="95" t="s">
        <v>897</v>
      </c>
      <c r="E18" s="224" t="s">
        <v>1161</v>
      </c>
      <c r="F18" s="225"/>
      <c r="G18" s="226"/>
      <c r="H18" s="95" t="s">
        <v>1150</v>
      </c>
      <c r="I18" s="103" t="s">
        <v>1379</v>
      </c>
      <c r="L18" s="81"/>
      <c r="M18" s="75"/>
      <c r="N18" s="76"/>
      <c r="O18" s="77"/>
      <c r="P18" s="75"/>
      <c r="Q18" s="76"/>
    </row>
    <row r="19" spans="1:17" ht="18" customHeight="1">
      <c r="A19" s="102">
        <v>15</v>
      </c>
      <c r="B19" s="95" t="s">
        <v>1128</v>
      </c>
      <c r="C19" s="95" t="s">
        <v>935</v>
      </c>
      <c r="D19" s="95" t="s">
        <v>1148</v>
      </c>
      <c r="E19" s="224" t="s">
        <v>1162</v>
      </c>
      <c r="F19" s="225"/>
      <c r="G19" s="226"/>
      <c r="H19" s="95" t="s">
        <v>1150</v>
      </c>
      <c r="I19" s="103" t="s">
        <v>1379</v>
      </c>
      <c r="L19" s="81"/>
      <c r="M19" s="75"/>
      <c r="N19" s="76"/>
      <c r="O19" s="77"/>
      <c r="P19" s="75"/>
      <c r="Q19" s="76"/>
    </row>
    <row r="20" spans="1:17" ht="18" customHeight="1">
      <c r="A20" s="102">
        <v>16</v>
      </c>
      <c r="B20" s="95" t="s">
        <v>1129</v>
      </c>
      <c r="C20" s="95" t="s">
        <v>935</v>
      </c>
      <c r="D20" s="95" t="s">
        <v>1163</v>
      </c>
      <c r="E20" s="224" t="s">
        <v>1164</v>
      </c>
      <c r="F20" s="225"/>
      <c r="G20" s="226"/>
      <c r="H20" s="95" t="s">
        <v>1150</v>
      </c>
      <c r="I20" s="103" t="s">
        <v>1379</v>
      </c>
      <c r="L20" s="81"/>
      <c r="M20" s="75"/>
      <c r="N20" s="76"/>
      <c r="O20" s="77"/>
      <c r="P20" s="75"/>
      <c r="Q20" s="76"/>
    </row>
    <row r="21" spans="1:17" ht="18" customHeight="1">
      <c r="A21" s="102">
        <v>17</v>
      </c>
      <c r="B21" s="95" t="s">
        <v>1130</v>
      </c>
      <c r="C21" s="95" t="s">
        <v>935</v>
      </c>
      <c r="D21" s="95" t="s">
        <v>1151</v>
      </c>
      <c r="E21" s="224" t="s">
        <v>1165</v>
      </c>
      <c r="F21" s="225"/>
      <c r="G21" s="226"/>
      <c r="H21" s="95" t="s">
        <v>1150</v>
      </c>
      <c r="I21" s="103" t="s">
        <v>1379</v>
      </c>
      <c r="L21" s="81"/>
      <c r="M21" s="75"/>
      <c r="N21" s="76"/>
      <c r="O21" s="77"/>
      <c r="P21" s="75"/>
      <c r="Q21" s="76"/>
    </row>
    <row r="22" spans="1:17" ht="18" customHeight="1">
      <c r="A22" s="102">
        <v>18</v>
      </c>
      <c r="B22" s="95" t="s">
        <v>1131</v>
      </c>
      <c r="C22" s="95" t="s">
        <v>935</v>
      </c>
      <c r="D22" s="95" t="s">
        <v>1166</v>
      </c>
      <c r="E22" s="224" t="s">
        <v>1167</v>
      </c>
      <c r="F22" s="225"/>
      <c r="G22" s="226"/>
      <c r="H22" s="95" t="s">
        <v>1150</v>
      </c>
      <c r="I22" s="103" t="s">
        <v>1379</v>
      </c>
      <c r="L22" s="81"/>
      <c r="M22" s="75"/>
      <c r="N22" s="76"/>
      <c r="O22" s="77"/>
      <c r="P22" s="75"/>
      <c r="Q22" s="76"/>
    </row>
    <row r="23" spans="1:17" ht="18" customHeight="1">
      <c r="A23" s="102">
        <v>19</v>
      </c>
      <c r="B23" s="95" t="s">
        <v>1132</v>
      </c>
      <c r="C23" s="95" t="s">
        <v>935</v>
      </c>
      <c r="D23" s="95" t="s">
        <v>1142</v>
      </c>
      <c r="E23" s="224" t="s">
        <v>1168</v>
      </c>
      <c r="F23" s="225"/>
      <c r="G23" s="226"/>
      <c r="H23" s="95" t="s">
        <v>1150</v>
      </c>
      <c r="I23" s="103" t="s">
        <v>1379</v>
      </c>
      <c r="L23" s="81"/>
      <c r="M23" s="75"/>
      <c r="N23" s="76"/>
      <c r="O23" s="77"/>
      <c r="P23" s="75"/>
      <c r="Q23" s="76"/>
    </row>
    <row r="24" spans="1:17" ht="18" customHeight="1">
      <c r="A24" s="102">
        <v>20</v>
      </c>
      <c r="B24" s="95" t="s">
        <v>1133</v>
      </c>
      <c r="C24" s="95" t="s">
        <v>935</v>
      </c>
      <c r="D24" s="95" t="s">
        <v>1142</v>
      </c>
      <c r="E24" s="224" t="s">
        <v>1169</v>
      </c>
      <c r="F24" s="225"/>
      <c r="G24" s="226"/>
      <c r="H24" s="95" t="s">
        <v>1150</v>
      </c>
      <c r="I24" s="103" t="s">
        <v>1379</v>
      </c>
      <c r="L24" s="82"/>
      <c r="M24" s="75"/>
      <c r="N24" s="76"/>
      <c r="O24" s="77"/>
      <c r="P24" s="75"/>
      <c r="Q24" s="76"/>
    </row>
    <row r="25" spans="1:17" ht="18" customHeight="1">
      <c r="A25" s="102">
        <v>21</v>
      </c>
      <c r="B25" s="95" t="s">
        <v>1134</v>
      </c>
      <c r="C25" s="95" t="s">
        <v>935</v>
      </c>
      <c r="D25" s="95" t="s">
        <v>1158</v>
      </c>
      <c r="E25" s="224" t="s">
        <v>1170</v>
      </c>
      <c r="F25" s="225"/>
      <c r="G25" s="226"/>
      <c r="H25" s="95" t="s">
        <v>1141</v>
      </c>
      <c r="I25" s="103" t="s">
        <v>1379</v>
      </c>
      <c r="L25" s="82"/>
      <c r="M25" s="75"/>
      <c r="N25" s="76"/>
      <c r="O25" s="77"/>
      <c r="P25" s="75"/>
      <c r="Q25" s="76"/>
    </row>
    <row r="26" spans="1:17" ht="18" customHeight="1">
      <c r="A26" s="102">
        <v>22</v>
      </c>
      <c r="B26" s="95" t="s">
        <v>1135</v>
      </c>
      <c r="C26" s="95" t="s">
        <v>935</v>
      </c>
      <c r="D26" s="95" t="s">
        <v>1158</v>
      </c>
      <c r="E26" s="224" t="s">
        <v>1171</v>
      </c>
      <c r="F26" s="225"/>
      <c r="G26" s="226"/>
      <c r="H26" s="95" t="s">
        <v>1150</v>
      </c>
      <c r="I26" s="103" t="s">
        <v>1379</v>
      </c>
      <c r="L26" s="82"/>
      <c r="M26" s="75"/>
      <c r="N26" s="76"/>
      <c r="O26" s="77"/>
      <c r="P26" s="75"/>
      <c r="Q26" s="76"/>
    </row>
    <row r="27" spans="1:17" ht="17" customHeight="1">
      <c r="A27" s="104">
        <v>23</v>
      </c>
      <c r="B27" s="93" t="s">
        <v>1136</v>
      </c>
      <c r="C27" s="93" t="s">
        <v>936</v>
      </c>
      <c r="D27" s="93" t="s">
        <v>1142</v>
      </c>
      <c r="E27" s="208" t="s">
        <v>1172</v>
      </c>
      <c r="F27" s="209"/>
      <c r="G27" s="210"/>
      <c r="H27" s="93" t="s">
        <v>1150</v>
      </c>
      <c r="I27" s="105" t="s">
        <v>1379</v>
      </c>
    </row>
    <row r="28" spans="1:17" ht="17" customHeight="1">
      <c r="A28" s="104">
        <v>24</v>
      </c>
      <c r="B28" s="93" t="s">
        <v>1137</v>
      </c>
      <c r="C28" s="93" t="s">
        <v>936</v>
      </c>
      <c r="D28" s="93" t="s">
        <v>1156</v>
      </c>
      <c r="E28" s="208" t="s">
        <v>1173</v>
      </c>
      <c r="F28" s="209"/>
      <c r="G28" s="210"/>
      <c r="H28" s="93" t="s">
        <v>1150</v>
      </c>
      <c r="I28" s="105" t="s">
        <v>1379</v>
      </c>
    </row>
    <row r="29" spans="1:17" ht="16" customHeight="1" thickBot="1">
      <c r="A29" s="106">
        <v>25</v>
      </c>
      <c r="B29" s="107" t="s">
        <v>1138</v>
      </c>
      <c r="C29" s="107" t="s">
        <v>936</v>
      </c>
      <c r="D29" s="107" t="s">
        <v>1174</v>
      </c>
      <c r="E29" s="211" t="s">
        <v>1175</v>
      </c>
      <c r="F29" s="212"/>
      <c r="G29" s="213"/>
      <c r="H29" s="107" t="s">
        <v>1150</v>
      </c>
      <c r="I29" s="108" t="s">
        <v>1379</v>
      </c>
    </row>
  </sheetData>
  <mergeCells count="29">
    <mergeCell ref="E5:G5"/>
    <mergeCell ref="E6:G6"/>
    <mergeCell ref="E7:G7"/>
    <mergeCell ref="E8:G8"/>
    <mergeCell ref="E9:G9"/>
    <mergeCell ref="E20:G20"/>
    <mergeCell ref="E21:G21"/>
    <mergeCell ref="E10:G10"/>
    <mergeCell ref="E11:G11"/>
    <mergeCell ref="E12:G12"/>
    <mergeCell ref="E13:G13"/>
    <mergeCell ref="E15:G15"/>
    <mergeCell ref="E14:G14"/>
    <mergeCell ref="E28:G28"/>
    <mergeCell ref="E29:G29"/>
    <mergeCell ref="E4:G4"/>
    <mergeCell ref="A1:I1"/>
    <mergeCell ref="A2:B2"/>
    <mergeCell ref="A3:B3"/>
    <mergeCell ref="E22:G22"/>
    <mergeCell ref="E24:G24"/>
    <mergeCell ref="E23:G23"/>
    <mergeCell ref="E26:G26"/>
    <mergeCell ref="E25:G25"/>
    <mergeCell ref="E27:G27"/>
    <mergeCell ref="E16:G16"/>
    <mergeCell ref="E17:G17"/>
    <mergeCell ref="E18:G18"/>
    <mergeCell ref="E19:G1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BB346-2844-4340-B7A5-714C4CAD8FDF}">
  <dimension ref="A1:F42"/>
  <sheetViews>
    <sheetView zoomScaleNormal="100" workbookViewId="0">
      <selection activeCell="G1" sqref="G1"/>
    </sheetView>
  </sheetViews>
  <sheetFormatPr baseColWidth="10" defaultRowHeight="16"/>
  <cols>
    <col min="1" max="1" width="10.83203125" style="7"/>
    <col min="2" max="2" width="34.6640625" style="7" bestFit="1" customWidth="1"/>
    <col min="3" max="3" width="39" style="7" customWidth="1"/>
    <col min="4" max="4" width="15" style="7" bestFit="1" customWidth="1"/>
    <col min="5" max="6" width="10.83203125" style="7"/>
    <col min="7" max="16384" width="10.83203125" style="1"/>
  </cols>
  <sheetData>
    <row r="1" spans="1:6" ht="20" thickBot="1">
      <c r="A1" s="237" t="s">
        <v>924</v>
      </c>
      <c r="B1" s="238"/>
      <c r="C1" s="238"/>
      <c r="D1" s="238"/>
      <c r="E1" s="238"/>
      <c r="F1" s="239"/>
    </row>
    <row r="2" spans="1:6" ht="17" thickBot="1">
      <c r="A2" s="4" t="s">
        <v>918</v>
      </c>
      <c r="B2" s="4" t="s">
        <v>925</v>
      </c>
      <c r="C2" s="4" t="s">
        <v>926</v>
      </c>
      <c r="D2" s="4" t="s">
        <v>971</v>
      </c>
      <c r="E2" s="4" t="s">
        <v>0</v>
      </c>
      <c r="F2" s="5" t="s">
        <v>927</v>
      </c>
    </row>
    <row r="3" spans="1:6" ht="17">
      <c r="A3" s="12" t="s">
        <v>1</v>
      </c>
      <c r="B3" s="14" t="s">
        <v>2</v>
      </c>
      <c r="C3" s="30" t="s">
        <v>3</v>
      </c>
      <c r="D3" s="14"/>
      <c r="E3" s="31" t="s">
        <v>71</v>
      </c>
      <c r="F3" s="15"/>
    </row>
    <row r="4" spans="1:6" ht="17">
      <c r="A4" s="16" t="s">
        <v>4</v>
      </c>
      <c r="B4" s="18" t="s">
        <v>5</v>
      </c>
      <c r="C4" s="24" t="s">
        <v>3</v>
      </c>
      <c r="D4" s="18"/>
      <c r="E4" s="25" t="s">
        <v>71</v>
      </c>
      <c r="F4" s="19"/>
    </row>
    <row r="5" spans="1:6" ht="17">
      <c r="A5" s="16" t="s">
        <v>6</v>
      </c>
      <c r="B5" s="18" t="s">
        <v>67</v>
      </c>
      <c r="C5" s="24" t="s">
        <v>3</v>
      </c>
      <c r="D5" s="18"/>
      <c r="E5" s="25" t="s">
        <v>71</v>
      </c>
      <c r="F5" s="19"/>
    </row>
    <row r="6" spans="1:6" ht="17">
      <c r="A6" s="16" t="s">
        <v>7</v>
      </c>
      <c r="B6" s="18" t="s">
        <v>8</v>
      </c>
      <c r="C6" s="24" t="s">
        <v>953</v>
      </c>
      <c r="D6" s="18"/>
      <c r="E6" s="25" t="s">
        <v>71</v>
      </c>
      <c r="F6" s="19"/>
    </row>
    <row r="7" spans="1:6" ht="17">
      <c r="A7" s="16" t="s">
        <v>9</v>
      </c>
      <c r="B7" s="18" t="s">
        <v>10</v>
      </c>
      <c r="C7" s="24" t="s">
        <v>954</v>
      </c>
      <c r="D7" s="18"/>
      <c r="E7" s="25" t="s">
        <v>71</v>
      </c>
      <c r="F7" s="19"/>
    </row>
    <row r="8" spans="1:6" ht="17">
      <c r="A8" s="16" t="s">
        <v>11</v>
      </c>
      <c r="B8" s="18" t="s">
        <v>12</v>
      </c>
      <c r="C8" s="24" t="s">
        <v>955</v>
      </c>
      <c r="D8" s="18"/>
      <c r="E8" s="25" t="s">
        <v>71</v>
      </c>
      <c r="F8" s="19"/>
    </row>
    <row r="9" spans="1:6" ht="17">
      <c r="A9" s="16" t="s">
        <v>13</v>
      </c>
      <c r="B9" s="18" t="s">
        <v>14</v>
      </c>
      <c r="C9" s="24" t="s">
        <v>15</v>
      </c>
      <c r="D9" s="18"/>
      <c r="E9" s="25" t="s">
        <v>71</v>
      </c>
      <c r="F9" s="19"/>
    </row>
    <row r="10" spans="1:6" ht="17">
      <c r="A10" s="16" t="s">
        <v>16</v>
      </c>
      <c r="B10" s="18" t="s">
        <v>17</v>
      </c>
      <c r="C10" s="24">
        <v>0</v>
      </c>
      <c r="D10" s="18"/>
      <c r="E10" s="25" t="s">
        <v>71</v>
      </c>
      <c r="F10" s="19"/>
    </row>
    <row r="11" spans="1:6" ht="17">
      <c r="A11" s="16" t="s">
        <v>18</v>
      </c>
      <c r="B11" s="18" t="s">
        <v>937</v>
      </c>
      <c r="C11" s="24" t="s">
        <v>956</v>
      </c>
      <c r="D11" s="18"/>
      <c r="E11" s="25" t="s">
        <v>71</v>
      </c>
      <c r="F11" s="19"/>
    </row>
    <row r="12" spans="1:6" ht="17">
      <c r="A12" s="16" t="s">
        <v>19</v>
      </c>
      <c r="B12" s="18" t="s">
        <v>938</v>
      </c>
      <c r="C12" s="26" t="s">
        <v>69</v>
      </c>
      <c r="D12" s="18"/>
      <c r="E12" s="25" t="s">
        <v>71</v>
      </c>
      <c r="F12" s="19"/>
    </row>
    <row r="13" spans="1:6" ht="17">
      <c r="A13" s="16" t="s">
        <v>20</v>
      </c>
      <c r="B13" s="18" t="s">
        <v>939</v>
      </c>
      <c r="C13" s="27" t="s">
        <v>957</v>
      </c>
      <c r="D13" s="18"/>
      <c r="E13" s="25" t="s">
        <v>71</v>
      </c>
      <c r="F13" s="19"/>
    </row>
    <row r="14" spans="1:6" ht="17">
      <c r="A14" s="16" t="s">
        <v>21</v>
      </c>
      <c r="B14" s="18" t="s">
        <v>940</v>
      </c>
      <c r="C14" s="24" t="s">
        <v>958</v>
      </c>
      <c r="D14" s="18"/>
      <c r="E14" s="25" t="s">
        <v>71</v>
      </c>
      <c r="F14" s="19"/>
    </row>
    <row r="15" spans="1:6" ht="17">
      <c r="A15" s="16" t="s">
        <v>23</v>
      </c>
      <c r="B15" s="18" t="s">
        <v>941</v>
      </c>
      <c r="C15" s="27" t="s">
        <v>959</v>
      </c>
      <c r="D15" s="18"/>
      <c r="E15" s="25" t="s">
        <v>71</v>
      </c>
      <c r="F15" s="19"/>
    </row>
    <row r="16" spans="1:6" ht="17">
      <c r="A16" s="16" t="s">
        <v>24</v>
      </c>
      <c r="B16" s="18" t="s">
        <v>942</v>
      </c>
      <c r="C16" s="27" t="s">
        <v>25</v>
      </c>
      <c r="D16" s="18"/>
      <c r="E16" s="25" t="s">
        <v>71</v>
      </c>
      <c r="F16" s="19"/>
    </row>
    <row r="17" spans="1:6" ht="17">
      <c r="A17" s="16" t="s">
        <v>26</v>
      </c>
      <c r="B17" s="18" t="s">
        <v>27</v>
      </c>
      <c r="C17" s="24">
        <v>-5</v>
      </c>
      <c r="D17" s="18"/>
      <c r="E17" s="25" t="s">
        <v>71</v>
      </c>
      <c r="F17" s="19"/>
    </row>
    <row r="18" spans="1:6" ht="17">
      <c r="A18" s="16" t="s">
        <v>28</v>
      </c>
      <c r="B18" s="18" t="s">
        <v>29</v>
      </c>
      <c r="C18" s="24" t="s">
        <v>960</v>
      </c>
      <c r="D18" s="18"/>
      <c r="E18" s="25" t="s">
        <v>71</v>
      </c>
      <c r="F18" s="19"/>
    </row>
    <row r="19" spans="1:6" ht="17">
      <c r="A19" s="16" t="s">
        <v>30</v>
      </c>
      <c r="B19" s="18" t="s">
        <v>31</v>
      </c>
      <c r="C19" s="24" t="s">
        <v>961</v>
      </c>
      <c r="D19" s="18"/>
      <c r="E19" s="25" t="s">
        <v>71</v>
      </c>
      <c r="F19" s="19"/>
    </row>
    <row r="20" spans="1:6" ht="17">
      <c r="A20" s="16" t="s">
        <v>32</v>
      </c>
      <c r="B20" s="18" t="s">
        <v>33</v>
      </c>
      <c r="C20" s="24">
        <v>-3.14</v>
      </c>
      <c r="D20" s="18"/>
      <c r="E20" s="25" t="s">
        <v>71</v>
      </c>
      <c r="F20" s="19"/>
    </row>
    <row r="21" spans="1:6" ht="17">
      <c r="A21" s="16" t="s">
        <v>34</v>
      </c>
      <c r="B21" s="18">
        <v>0.5</v>
      </c>
      <c r="C21" s="24">
        <v>0.5</v>
      </c>
      <c r="D21" s="18"/>
      <c r="E21" s="25" t="s">
        <v>71</v>
      </c>
      <c r="F21" s="19"/>
    </row>
    <row r="22" spans="1:6" ht="17">
      <c r="A22" s="16" t="s">
        <v>35</v>
      </c>
      <c r="B22" s="18">
        <v>0</v>
      </c>
      <c r="C22" s="24">
        <v>0</v>
      </c>
      <c r="D22" s="18"/>
      <c r="E22" s="25" t="s">
        <v>71</v>
      </c>
      <c r="F22" s="19"/>
    </row>
    <row r="23" spans="1:6" ht="17">
      <c r="A23" s="16" t="s">
        <v>36</v>
      </c>
      <c r="B23" s="18" t="s">
        <v>37</v>
      </c>
      <c r="C23" s="24">
        <v>20</v>
      </c>
      <c r="D23" s="18"/>
      <c r="E23" s="25" t="s">
        <v>71</v>
      </c>
      <c r="F23" s="19"/>
    </row>
    <row r="24" spans="1:6" ht="17">
      <c r="A24" s="16" t="s">
        <v>38</v>
      </c>
      <c r="B24" s="18">
        <v>1</v>
      </c>
      <c r="C24" s="24">
        <v>1</v>
      </c>
      <c r="D24" s="18"/>
      <c r="E24" s="25" t="s">
        <v>71</v>
      </c>
      <c r="F24" s="19"/>
    </row>
    <row r="25" spans="1:6" ht="17">
      <c r="A25" s="16" t="s">
        <v>39</v>
      </c>
      <c r="B25" s="18" t="s">
        <v>943</v>
      </c>
      <c r="C25" s="24" t="s">
        <v>962</v>
      </c>
      <c r="D25" s="18"/>
      <c r="E25" s="25" t="s">
        <v>71</v>
      </c>
      <c r="F25" s="19"/>
    </row>
    <row r="26" spans="1:6" ht="17">
      <c r="A26" s="8" t="s">
        <v>40</v>
      </c>
      <c r="B26" s="10" t="s">
        <v>944</v>
      </c>
      <c r="C26" s="28" t="s">
        <v>963</v>
      </c>
      <c r="D26" s="10" t="s">
        <v>970</v>
      </c>
      <c r="E26" s="29" t="s">
        <v>70</v>
      </c>
      <c r="F26" s="11" t="s">
        <v>923</v>
      </c>
    </row>
    <row r="27" spans="1:6" ht="17">
      <c r="A27" s="16" t="s">
        <v>41</v>
      </c>
      <c r="B27" s="18" t="s">
        <v>945</v>
      </c>
      <c r="C27" s="24" t="s">
        <v>964</v>
      </c>
      <c r="D27" s="18"/>
      <c r="E27" s="25" t="s">
        <v>71</v>
      </c>
      <c r="F27" s="19"/>
    </row>
    <row r="28" spans="1:6" ht="17">
      <c r="A28" s="16" t="s">
        <v>42</v>
      </c>
      <c r="B28" s="18" t="s">
        <v>946</v>
      </c>
      <c r="C28" s="24" t="s">
        <v>965</v>
      </c>
      <c r="D28" s="18"/>
      <c r="E28" s="25" t="s">
        <v>71</v>
      </c>
      <c r="F28" s="19"/>
    </row>
    <row r="29" spans="1:6" ht="17">
      <c r="A29" s="16" t="s">
        <v>43</v>
      </c>
      <c r="B29" s="18" t="s">
        <v>44</v>
      </c>
      <c r="C29" s="24" t="s">
        <v>966</v>
      </c>
      <c r="D29" s="18"/>
      <c r="E29" s="25" t="s">
        <v>71</v>
      </c>
      <c r="F29" s="19"/>
    </row>
    <row r="30" spans="1:6" ht="17">
      <c r="A30" s="16" t="s">
        <v>45</v>
      </c>
      <c r="B30" s="18" t="s">
        <v>46</v>
      </c>
      <c r="C30" s="24">
        <v>2.5</v>
      </c>
      <c r="D30" s="18"/>
      <c r="E30" s="25" t="s">
        <v>71</v>
      </c>
      <c r="F30" s="19"/>
    </row>
    <row r="31" spans="1:6" ht="17">
      <c r="A31" s="16" t="s">
        <v>47</v>
      </c>
      <c r="B31" s="18" t="s">
        <v>48</v>
      </c>
      <c r="C31" s="24" t="s">
        <v>952</v>
      </c>
      <c r="D31" s="18"/>
      <c r="E31" s="25" t="s">
        <v>71</v>
      </c>
      <c r="F31" s="19"/>
    </row>
    <row r="32" spans="1:6" ht="17">
      <c r="A32" s="16" t="s">
        <v>49</v>
      </c>
      <c r="B32" s="18" t="s">
        <v>50</v>
      </c>
      <c r="C32" s="24">
        <v>5</v>
      </c>
      <c r="D32" s="18"/>
      <c r="E32" s="25" t="s">
        <v>71</v>
      </c>
      <c r="F32" s="19"/>
    </row>
    <row r="33" spans="1:6" ht="17">
      <c r="A33" s="16" t="s">
        <v>51</v>
      </c>
      <c r="B33" s="18" t="s">
        <v>947</v>
      </c>
      <c r="C33" s="24">
        <v>12</v>
      </c>
      <c r="D33" s="18"/>
      <c r="E33" s="25" t="s">
        <v>71</v>
      </c>
      <c r="F33" s="19"/>
    </row>
    <row r="34" spans="1:6" ht="17">
      <c r="A34" s="16" t="s">
        <v>52</v>
      </c>
      <c r="B34" s="18" t="s">
        <v>948</v>
      </c>
      <c r="C34" s="24" t="s">
        <v>967</v>
      </c>
      <c r="D34" s="18"/>
      <c r="E34" s="25" t="s">
        <v>71</v>
      </c>
      <c r="F34" s="19"/>
    </row>
    <row r="35" spans="1:6" ht="17">
      <c r="A35" s="16" t="s">
        <v>53</v>
      </c>
      <c r="B35" s="18" t="s">
        <v>949</v>
      </c>
      <c r="C35" s="27" t="s">
        <v>54</v>
      </c>
      <c r="D35" s="18"/>
      <c r="E35" s="25" t="s">
        <v>71</v>
      </c>
      <c r="F35" s="19"/>
    </row>
    <row r="36" spans="1:6" ht="17">
      <c r="A36" s="16" t="s">
        <v>55</v>
      </c>
      <c r="B36" s="18" t="s">
        <v>56</v>
      </c>
      <c r="C36" s="24" t="s">
        <v>968</v>
      </c>
      <c r="D36" s="18"/>
      <c r="E36" s="25" t="s">
        <v>71</v>
      </c>
      <c r="F36" s="19"/>
    </row>
    <row r="37" spans="1:6" ht="17">
      <c r="A37" s="16" t="s">
        <v>57</v>
      </c>
      <c r="B37" s="18" t="s">
        <v>58</v>
      </c>
      <c r="C37" s="27" t="s">
        <v>59</v>
      </c>
      <c r="D37" s="18"/>
      <c r="E37" s="25" t="s">
        <v>71</v>
      </c>
      <c r="F37" s="19"/>
    </row>
    <row r="38" spans="1:6" ht="17">
      <c r="A38" s="16" t="s">
        <v>60</v>
      </c>
      <c r="B38" s="18">
        <f>-5 + -3</f>
        <v>-8</v>
      </c>
      <c r="C38" s="24">
        <v>-8</v>
      </c>
      <c r="D38" s="18"/>
      <c r="E38" s="25" t="s">
        <v>71</v>
      </c>
      <c r="F38" s="19"/>
    </row>
    <row r="39" spans="1:6" ht="17">
      <c r="A39" s="16" t="s">
        <v>61</v>
      </c>
      <c r="B39" s="18" t="s">
        <v>63</v>
      </c>
      <c r="C39" s="24">
        <v>9.9999999999999998E-13</v>
      </c>
      <c r="D39" s="18"/>
      <c r="E39" s="25" t="s">
        <v>71</v>
      </c>
      <c r="F39" s="19"/>
    </row>
    <row r="40" spans="1:6" ht="17">
      <c r="A40" s="16" t="s">
        <v>62</v>
      </c>
      <c r="B40" s="18" t="s">
        <v>950</v>
      </c>
      <c r="C40" s="27" t="s">
        <v>969</v>
      </c>
      <c r="D40" s="18"/>
      <c r="E40" s="25" t="s">
        <v>71</v>
      </c>
      <c r="F40" s="19"/>
    </row>
    <row r="41" spans="1:6" ht="17">
      <c r="A41" s="16" t="s">
        <v>64</v>
      </c>
      <c r="B41" s="18" t="s">
        <v>951</v>
      </c>
      <c r="C41" s="27" t="s">
        <v>66</v>
      </c>
      <c r="D41" s="18"/>
      <c r="E41" s="25" t="s">
        <v>71</v>
      </c>
      <c r="F41" s="19"/>
    </row>
    <row r="42" spans="1:6" ht="18" thickBot="1">
      <c r="A42" s="20" t="s">
        <v>65</v>
      </c>
      <c r="B42" s="22" t="s">
        <v>72</v>
      </c>
      <c r="C42" s="32" t="s">
        <v>73</v>
      </c>
      <c r="D42" s="22"/>
      <c r="E42" s="33" t="s">
        <v>71</v>
      </c>
      <c r="F42" s="23"/>
    </row>
  </sheetData>
  <mergeCells count="1">
    <mergeCell ref="A1:F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EBD76-7503-B540-978A-25E2B20CECF6}">
  <dimension ref="A1:F56"/>
  <sheetViews>
    <sheetView zoomScaleNormal="100" workbookViewId="0">
      <selection activeCell="H20" sqref="H20"/>
    </sheetView>
  </sheetViews>
  <sheetFormatPr baseColWidth="10" defaultRowHeight="16"/>
  <cols>
    <col min="1" max="1" width="10.83203125" style="7"/>
    <col min="2" max="2" width="31.83203125" style="7" customWidth="1"/>
    <col min="3" max="3" width="40.83203125" style="7" customWidth="1"/>
    <col min="4" max="4" width="63.5" style="7" customWidth="1"/>
    <col min="5" max="6" width="10.83203125" style="7"/>
    <col min="7" max="16384" width="10.83203125" style="1"/>
  </cols>
  <sheetData>
    <row r="1" spans="1:6" ht="20" thickBot="1">
      <c r="A1" s="240" t="s">
        <v>1042</v>
      </c>
      <c r="B1" s="241"/>
      <c r="C1" s="241"/>
      <c r="D1" s="241"/>
      <c r="E1" s="241"/>
      <c r="F1" s="242"/>
    </row>
    <row r="2" spans="1:6" ht="17" thickBot="1">
      <c r="A2" s="148" t="s">
        <v>918</v>
      </c>
      <c r="B2" s="149" t="s">
        <v>925</v>
      </c>
      <c r="C2" s="149" t="s">
        <v>926</v>
      </c>
      <c r="D2" s="149" t="s">
        <v>971</v>
      </c>
      <c r="E2" s="149" t="s">
        <v>0</v>
      </c>
      <c r="F2" s="150" t="s">
        <v>927</v>
      </c>
    </row>
    <row r="3" spans="1:6" ht="17">
      <c r="A3" s="145" t="s">
        <v>74</v>
      </c>
      <c r="B3" s="146" t="s">
        <v>75</v>
      </c>
      <c r="C3" s="146">
        <v>20</v>
      </c>
      <c r="D3" s="52"/>
      <c r="E3" s="147" t="s">
        <v>71</v>
      </c>
      <c r="F3" s="53"/>
    </row>
    <row r="4" spans="1:6" ht="17">
      <c r="A4" s="36" t="s">
        <v>76</v>
      </c>
      <c r="B4" s="35" t="s">
        <v>973</v>
      </c>
      <c r="C4" s="35" t="s">
        <v>77</v>
      </c>
      <c r="D4" s="18"/>
      <c r="E4" s="25" t="s">
        <v>71</v>
      </c>
      <c r="F4" s="19"/>
    </row>
    <row r="5" spans="1:6" ht="17">
      <c r="A5" s="39" t="s">
        <v>78</v>
      </c>
      <c r="B5" s="40" t="s">
        <v>974</v>
      </c>
      <c r="C5" s="41">
        <v>0</v>
      </c>
      <c r="D5" s="40" t="s">
        <v>165</v>
      </c>
      <c r="E5" s="29" t="s">
        <v>70</v>
      </c>
      <c r="F5" s="11" t="s">
        <v>923</v>
      </c>
    </row>
    <row r="6" spans="1:6" ht="17">
      <c r="A6" s="39" t="s">
        <v>79</v>
      </c>
      <c r="B6" s="41" t="s">
        <v>975</v>
      </c>
      <c r="C6" s="41">
        <v>8</v>
      </c>
      <c r="D6" s="40" t="s">
        <v>166</v>
      </c>
      <c r="E6" s="29" t="s">
        <v>70</v>
      </c>
      <c r="F6" s="11" t="s">
        <v>923</v>
      </c>
    </row>
    <row r="7" spans="1:6" ht="17">
      <c r="A7" s="39" t="s">
        <v>80</v>
      </c>
      <c r="B7" s="41" t="s">
        <v>976</v>
      </c>
      <c r="C7" s="41">
        <v>7</v>
      </c>
      <c r="D7" s="40" t="s">
        <v>165</v>
      </c>
      <c r="E7" s="29" t="s">
        <v>70</v>
      </c>
      <c r="F7" s="11" t="s">
        <v>923</v>
      </c>
    </row>
    <row r="8" spans="1:6" ht="17">
      <c r="A8" s="39" t="s">
        <v>81</v>
      </c>
      <c r="B8" s="40" t="s">
        <v>977</v>
      </c>
      <c r="C8" s="41" t="s">
        <v>22</v>
      </c>
      <c r="D8" s="40" t="s">
        <v>167</v>
      </c>
      <c r="E8" s="29" t="s">
        <v>70</v>
      </c>
      <c r="F8" s="11" t="s">
        <v>923</v>
      </c>
    </row>
    <row r="9" spans="1:6" ht="17">
      <c r="A9" s="36" t="s">
        <v>82</v>
      </c>
      <c r="B9" s="35" t="s">
        <v>978</v>
      </c>
      <c r="C9" s="35">
        <v>25</v>
      </c>
      <c r="D9" s="18"/>
      <c r="E9" s="25" t="s">
        <v>71</v>
      </c>
      <c r="F9" s="19"/>
    </row>
    <row r="10" spans="1:6" ht="17">
      <c r="A10" s="36" t="s">
        <v>83</v>
      </c>
      <c r="B10" s="35" t="s">
        <v>979</v>
      </c>
      <c r="C10" s="35" t="s">
        <v>84</v>
      </c>
      <c r="D10" s="18"/>
      <c r="E10" s="25" t="s">
        <v>71</v>
      </c>
      <c r="F10" s="19"/>
    </row>
    <row r="11" spans="1:6" ht="17">
      <c r="A11" s="36" t="s">
        <v>85</v>
      </c>
      <c r="B11" s="35" t="s">
        <v>980</v>
      </c>
      <c r="C11" s="35" t="s">
        <v>86</v>
      </c>
      <c r="D11" s="18"/>
      <c r="E11" s="25" t="s">
        <v>71</v>
      </c>
      <c r="F11" s="19"/>
    </row>
    <row r="12" spans="1:6" ht="17">
      <c r="A12" s="36" t="s">
        <v>87</v>
      </c>
      <c r="B12" s="35" t="s">
        <v>88</v>
      </c>
      <c r="C12" s="35" t="s">
        <v>89</v>
      </c>
      <c r="D12" s="18"/>
      <c r="E12" s="25" t="s">
        <v>71</v>
      </c>
      <c r="F12" s="19"/>
    </row>
    <row r="13" spans="1:6" ht="17">
      <c r="A13" s="36" t="s">
        <v>90</v>
      </c>
      <c r="B13" s="35" t="s">
        <v>91</v>
      </c>
      <c r="C13" s="35">
        <v>1</v>
      </c>
      <c r="D13" s="18"/>
      <c r="E13" s="25" t="s">
        <v>71</v>
      </c>
      <c r="F13" s="19"/>
    </row>
    <row r="14" spans="1:6" ht="17">
      <c r="A14" s="36" t="s">
        <v>92</v>
      </c>
      <c r="B14" s="35" t="s">
        <v>93</v>
      </c>
      <c r="C14" s="35">
        <v>2.7182818284589998</v>
      </c>
      <c r="D14" s="18"/>
      <c r="E14" s="25" t="s">
        <v>71</v>
      </c>
      <c r="F14" s="19"/>
    </row>
    <row r="15" spans="1:6" ht="17">
      <c r="A15" s="36" t="s">
        <v>94</v>
      </c>
      <c r="B15" s="35" t="s">
        <v>95</v>
      </c>
      <c r="C15" s="35">
        <v>1000</v>
      </c>
      <c r="D15" s="18"/>
      <c r="E15" s="25" t="s">
        <v>71</v>
      </c>
      <c r="F15" s="19"/>
    </row>
    <row r="16" spans="1:6" ht="17">
      <c r="A16" s="36" t="s">
        <v>96</v>
      </c>
      <c r="B16" s="35" t="s">
        <v>981</v>
      </c>
      <c r="C16" s="35">
        <v>0.25</v>
      </c>
      <c r="D16" s="18"/>
      <c r="E16" s="25" t="s">
        <v>71</v>
      </c>
      <c r="F16" s="19"/>
    </row>
    <row r="17" spans="1:6" ht="17">
      <c r="A17" s="36" t="s">
        <v>97</v>
      </c>
      <c r="B17" s="35" t="s">
        <v>982</v>
      </c>
      <c r="C17" s="35" t="s">
        <v>3</v>
      </c>
      <c r="D17" s="35"/>
      <c r="E17" s="25" t="s">
        <v>71</v>
      </c>
      <c r="F17" s="19"/>
    </row>
    <row r="18" spans="1:6" ht="17">
      <c r="A18" s="36" t="s">
        <v>98</v>
      </c>
      <c r="B18" s="37" t="s">
        <v>983</v>
      </c>
      <c r="C18" s="35" t="s">
        <v>99</v>
      </c>
      <c r="D18" s="35"/>
      <c r="E18" s="25" t="s">
        <v>71</v>
      </c>
      <c r="F18" s="19"/>
    </row>
    <row r="19" spans="1:6" ht="17">
      <c r="A19" s="36" t="s">
        <v>100</v>
      </c>
      <c r="B19" s="37" t="s">
        <v>984</v>
      </c>
      <c r="C19" s="35" t="s">
        <v>101</v>
      </c>
      <c r="D19" s="35"/>
      <c r="E19" s="25" t="s">
        <v>71</v>
      </c>
      <c r="F19" s="19"/>
    </row>
    <row r="20" spans="1:6" ht="18">
      <c r="A20" s="36" t="s">
        <v>102</v>
      </c>
      <c r="B20" s="35" t="s">
        <v>985</v>
      </c>
      <c r="C20" s="35" t="s">
        <v>171</v>
      </c>
      <c r="D20" s="35"/>
      <c r="E20" s="25" t="s">
        <v>71</v>
      </c>
      <c r="F20" s="19"/>
    </row>
    <row r="21" spans="1:6" ht="18">
      <c r="A21" s="36" t="s">
        <v>103</v>
      </c>
      <c r="B21" s="35" t="s">
        <v>986</v>
      </c>
      <c r="C21" s="35" t="s">
        <v>172</v>
      </c>
      <c r="D21" s="35"/>
      <c r="E21" s="25" t="s">
        <v>71</v>
      </c>
      <c r="F21" s="19"/>
    </row>
    <row r="22" spans="1:6" ht="18">
      <c r="A22" s="36" t="s">
        <v>104</v>
      </c>
      <c r="B22" s="35" t="s">
        <v>987</v>
      </c>
      <c r="C22" s="35" t="s">
        <v>173</v>
      </c>
      <c r="D22" s="35"/>
      <c r="E22" s="25" t="s">
        <v>71</v>
      </c>
      <c r="F22" s="19"/>
    </row>
    <row r="23" spans="1:6" ht="17">
      <c r="A23" s="36" t="s">
        <v>105</v>
      </c>
      <c r="B23" s="37" t="s">
        <v>106</v>
      </c>
      <c r="C23" s="35">
        <v>3</v>
      </c>
      <c r="D23" s="35"/>
      <c r="E23" s="25" t="s">
        <v>71</v>
      </c>
      <c r="F23" s="19"/>
    </row>
    <row r="24" spans="1:6" ht="17">
      <c r="A24" s="36" t="s">
        <v>107</v>
      </c>
      <c r="B24" s="35" t="s">
        <v>108</v>
      </c>
      <c r="C24" s="35" t="s">
        <v>15</v>
      </c>
      <c r="D24" s="35"/>
      <c r="E24" s="25" t="s">
        <v>71</v>
      </c>
      <c r="F24" s="19"/>
    </row>
    <row r="25" spans="1:6" ht="17">
      <c r="A25" s="36" t="s">
        <v>109</v>
      </c>
      <c r="B25" s="35" t="s">
        <v>110</v>
      </c>
      <c r="C25" s="35">
        <v>-3</v>
      </c>
      <c r="D25" s="35"/>
      <c r="E25" s="25" t="s">
        <v>71</v>
      </c>
      <c r="F25" s="19"/>
    </row>
    <row r="26" spans="1:6" ht="17">
      <c r="A26" s="36" t="s">
        <v>111</v>
      </c>
      <c r="B26" s="35" t="s">
        <v>112</v>
      </c>
      <c r="C26" s="35">
        <v>3</v>
      </c>
      <c r="D26" s="35"/>
      <c r="E26" s="25" t="s">
        <v>71</v>
      </c>
      <c r="F26" s="19"/>
    </row>
    <row r="27" spans="1:6" ht="17">
      <c r="A27" s="36" t="s">
        <v>113</v>
      </c>
      <c r="B27" s="35" t="s">
        <v>114</v>
      </c>
      <c r="C27" s="35" t="s">
        <v>115</v>
      </c>
      <c r="D27" s="35"/>
      <c r="E27" s="25" t="s">
        <v>71</v>
      </c>
      <c r="F27" s="19"/>
    </row>
    <row r="28" spans="1:6" ht="17">
      <c r="A28" s="36" t="s">
        <v>116</v>
      </c>
      <c r="B28" s="35" t="s">
        <v>117</v>
      </c>
      <c r="C28" s="35" t="s">
        <v>15</v>
      </c>
      <c r="D28" s="35"/>
      <c r="E28" s="25" t="s">
        <v>71</v>
      </c>
      <c r="F28" s="19"/>
    </row>
    <row r="29" spans="1:6" ht="17">
      <c r="A29" s="36" t="s">
        <v>118</v>
      </c>
      <c r="B29" s="35" t="s">
        <v>119</v>
      </c>
      <c r="C29" s="35">
        <v>3</v>
      </c>
      <c r="D29" s="35"/>
      <c r="E29" s="25" t="s">
        <v>71</v>
      </c>
      <c r="F29" s="19"/>
    </row>
    <row r="30" spans="1:6" ht="17">
      <c r="A30" s="36" t="s">
        <v>120</v>
      </c>
      <c r="B30" s="35" t="s">
        <v>121</v>
      </c>
      <c r="C30" s="35">
        <v>12</v>
      </c>
      <c r="D30" s="35"/>
      <c r="E30" s="25" t="s">
        <v>71</v>
      </c>
      <c r="F30" s="19"/>
    </row>
    <row r="31" spans="1:6" ht="17">
      <c r="A31" s="36" t="s">
        <v>122</v>
      </c>
      <c r="B31" s="35" t="s">
        <v>123</v>
      </c>
      <c r="C31" s="35">
        <v>0</v>
      </c>
      <c r="D31" s="35"/>
      <c r="E31" s="25" t="s">
        <v>71</v>
      </c>
      <c r="F31" s="19"/>
    </row>
    <row r="32" spans="1:6" ht="17">
      <c r="A32" s="36" t="s">
        <v>124</v>
      </c>
      <c r="B32" s="35" t="s">
        <v>988</v>
      </c>
      <c r="C32" s="35" t="s">
        <v>168</v>
      </c>
      <c r="D32" s="35"/>
      <c r="E32" s="25" t="s">
        <v>71</v>
      </c>
      <c r="F32" s="19"/>
    </row>
    <row r="33" spans="1:6" ht="17">
      <c r="A33" s="36" t="s">
        <v>125</v>
      </c>
      <c r="B33" s="35" t="s">
        <v>989</v>
      </c>
      <c r="C33" s="35" t="s">
        <v>169</v>
      </c>
      <c r="D33" s="35"/>
      <c r="E33" s="25" t="s">
        <v>71</v>
      </c>
      <c r="F33" s="19"/>
    </row>
    <row r="34" spans="1:6" ht="35">
      <c r="A34" s="36" t="s">
        <v>126</v>
      </c>
      <c r="B34" s="35" t="s">
        <v>990</v>
      </c>
      <c r="C34" s="35" t="s">
        <v>170</v>
      </c>
      <c r="D34" s="18"/>
      <c r="E34" s="25" t="s">
        <v>71</v>
      </c>
      <c r="F34" s="19"/>
    </row>
    <row r="35" spans="1:6" ht="17">
      <c r="A35" s="36" t="s">
        <v>127</v>
      </c>
      <c r="B35" s="35" t="s">
        <v>128</v>
      </c>
      <c r="C35" s="35">
        <v>1</v>
      </c>
      <c r="D35" s="18"/>
      <c r="E35" s="25" t="s">
        <v>71</v>
      </c>
      <c r="F35" s="19"/>
    </row>
    <row r="36" spans="1:6" ht="17">
      <c r="A36" s="36" t="s">
        <v>129</v>
      </c>
      <c r="B36" s="35" t="s">
        <v>130</v>
      </c>
      <c r="C36" s="35" t="s">
        <v>15</v>
      </c>
      <c r="D36" s="18"/>
      <c r="E36" s="25" t="s">
        <v>71</v>
      </c>
      <c r="F36" s="19"/>
    </row>
    <row r="37" spans="1:6" ht="17">
      <c r="A37" s="36" t="s">
        <v>131</v>
      </c>
      <c r="B37" s="35" t="s">
        <v>132</v>
      </c>
      <c r="C37" s="35" t="s">
        <v>133</v>
      </c>
      <c r="D37" s="18"/>
      <c r="E37" s="25" t="s">
        <v>71</v>
      </c>
      <c r="F37" s="19"/>
    </row>
    <row r="38" spans="1:6" ht="17">
      <c r="A38" s="36" t="s">
        <v>134</v>
      </c>
      <c r="B38" s="35" t="s">
        <v>135</v>
      </c>
      <c r="C38" s="35">
        <v>3.1415926535900001</v>
      </c>
      <c r="D38" s="18"/>
      <c r="E38" s="25" t="s">
        <v>71</v>
      </c>
      <c r="F38" s="19"/>
    </row>
    <row r="39" spans="1:6" ht="17">
      <c r="A39" s="36" t="s">
        <v>136</v>
      </c>
      <c r="B39" s="35" t="s">
        <v>137</v>
      </c>
      <c r="C39" s="35">
        <v>4</v>
      </c>
      <c r="D39" s="18"/>
      <c r="E39" s="25" t="s">
        <v>71</v>
      </c>
      <c r="F39" s="19"/>
    </row>
    <row r="40" spans="1:6" ht="17">
      <c r="A40" s="36" t="s">
        <v>138</v>
      </c>
      <c r="B40" s="35" t="s">
        <v>139</v>
      </c>
      <c r="C40" s="35">
        <v>0</v>
      </c>
      <c r="D40" s="18"/>
      <c r="E40" s="25" t="s">
        <v>71</v>
      </c>
      <c r="F40" s="19"/>
    </row>
    <row r="41" spans="1:6" ht="17">
      <c r="A41" s="36" t="s">
        <v>140</v>
      </c>
      <c r="B41" s="35" t="s">
        <v>141</v>
      </c>
      <c r="C41" s="35">
        <v>0</v>
      </c>
      <c r="D41" s="18"/>
      <c r="E41" s="25" t="s">
        <v>71</v>
      </c>
      <c r="F41" s="19"/>
    </row>
    <row r="42" spans="1:6" ht="17">
      <c r="A42" s="36" t="s">
        <v>142</v>
      </c>
      <c r="B42" s="35" t="s">
        <v>143</v>
      </c>
      <c r="C42" s="35">
        <v>1</v>
      </c>
      <c r="D42" s="18"/>
      <c r="E42" s="25" t="s">
        <v>71</v>
      </c>
      <c r="F42" s="19"/>
    </row>
    <row r="43" spans="1:6" ht="35">
      <c r="A43" s="36" t="s">
        <v>144</v>
      </c>
      <c r="B43" s="35" t="s">
        <v>991</v>
      </c>
      <c r="C43" s="35" t="s">
        <v>175</v>
      </c>
      <c r="D43" s="18"/>
      <c r="E43" s="25" t="s">
        <v>71</v>
      </c>
      <c r="F43" s="19"/>
    </row>
    <row r="44" spans="1:6" ht="35">
      <c r="A44" s="36" t="s">
        <v>145</v>
      </c>
      <c r="B44" s="35" t="s">
        <v>992</v>
      </c>
      <c r="C44" s="35" t="s">
        <v>176</v>
      </c>
      <c r="D44" s="18"/>
      <c r="E44" s="25" t="s">
        <v>71</v>
      </c>
      <c r="F44" s="19"/>
    </row>
    <row r="45" spans="1:6" ht="18">
      <c r="A45" s="36" t="s">
        <v>146</v>
      </c>
      <c r="B45" s="35" t="s">
        <v>993</v>
      </c>
      <c r="C45" s="35" t="s">
        <v>174</v>
      </c>
      <c r="D45" s="18"/>
      <c r="E45" s="25" t="s">
        <v>71</v>
      </c>
      <c r="F45" s="19"/>
    </row>
    <row r="46" spans="1:6" ht="18">
      <c r="A46" s="36" t="s">
        <v>148</v>
      </c>
      <c r="B46" s="35" t="s">
        <v>994</v>
      </c>
      <c r="C46" s="35" t="s">
        <v>174</v>
      </c>
      <c r="D46" s="18"/>
      <c r="E46" s="25" t="s">
        <v>71</v>
      </c>
      <c r="F46" s="19"/>
    </row>
    <row r="47" spans="1:6" ht="17">
      <c r="A47" s="36" t="s">
        <v>150</v>
      </c>
      <c r="B47" s="35" t="s">
        <v>147</v>
      </c>
      <c r="C47" s="35">
        <v>0</v>
      </c>
      <c r="D47" s="18"/>
      <c r="E47" s="25" t="s">
        <v>71</v>
      </c>
      <c r="F47" s="19"/>
    </row>
    <row r="48" spans="1:6" ht="17">
      <c r="A48" s="36" t="s">
        <v>152</v>
      </c>
      <c r="B48" s="35" t="s">
        <v>149</v>
      </c>
      <c r="C48" s="35">
        <v>7</v>
      </c>
      <c r="D48" s="18"/>
      <c r="E48" s="25" t="s">
        <v>71</v>
      </c>
      <c r="F48" s="19"/>
    </row>
    <row r="49" spans="1:6" ht="18">
      <c r="A49" s="36" t="s">
        <v>154</v>
      </c>
      <c r="B49" s="37" t="s">
        <v>995</v>
      </c>
      <c r="C49" s="35" t="s">
        <v>151</v>
      </c>
      <c r="D49" s="18"/>
      <c r="E49" s="25" t="s">
        <v>71</v>
      </c>
      <c r="F49" s="19"/>
    </row>
    <row r="50" spans="1:6" ht="17">
      <c r="A50" s="36" t="s">
        <v>156</v>
      </c>
      <c r="B50" s="35" t="s">
        <v>153</v>
      </c>
      <c r="C50" s="35">
        <v>2.7182818284589998</v>
      </c>
      <c r="D50" s="18"/>
      <c r="E50" s="25" t="s">
        <v>71</v>
      </c>
      <c r="F50" s="19"/>
    </row>
    <row r="51" spans="1:6" ht="17">
      <c r="A51" s="36" t="s">
        <v>157</v>
      </c>
      <c r="B51" s="35" t="s">
        <v>155</v>
      </c>
      <c r="C51" s="35" t="s">
        <v>15</v>
      </c>
      <c r="D51" s="18"/>
      <c r="E51" s="25" t="s">
        <v>71</v>
      </c>
      <c r="F51" s="19"/>
    </row>
    <row r="52" spans="1:6" ht="17">
      <c r="A52" s="36" t="s">
        <v>159</v>
      </c>
      <c r="B52" s="38">
        <v>1000</v>
      </c>
      <c r="C52" s="35">
        <v>1000</v>
      </c>
      <c r="D52" s="18"/>
      <c r="E52" s="25" t="s">
        <v>71</v>
      </c>
      <c r="F52" s="19"/>
    </row>
    <row r="53" spans="1:6" ht="17">
      <c r="A53" s="36" t="s">
        <v>161</v>
      </c>
      <c r="B53" s="35" t="s">
        <v>158</v>
      </c>
      <c r="C53" s="35">
        <v>5</v>
      </c>
      <c r="D53" s="18"/>
      <c r="E53" s="25" t="s">
        <v>71</v>
      </c>
      <c r="F53" s="19"/>
    </row>
    <row r="54" spans="1:6" ht="17">
      <c r="A54" s="36" t="s">
        <v>163</v>
      </c>
      <c r="B54" s="35" t="s">
        <v>160</v>
      </c>
      <c r="C54" s="35">
        <v>4</v>
      </c>
      <c r="D54" s="18"/>
      <c r="E54" s="25" t="s">
        <v>71</v>
      </c>
      <c r="F54" s="19"/>
    </row>
    <row r="55" spans="1:6" ht="17">
      <c r="A55" s="36" t="s">
        <v>177</v>
      </c>
      <c r="B55" s="35" t="s">
        <v>162</v>
      </c>
      <c r="C55" s="35">
        <v>4</v>
      </c>
      <c r="D55" s="18"/>
      <c r="E55" s="25" t="s">
        <v>71</v>
      </c>
      <c r="F55" s="19"/>
    </row>
    <row r="56" spans="1:6" ht="18" thickBot="1">
      <c r="A56" s="110" t="s">
        <v>178</v>
      </c>
      <c r="B56" s="34" t="s">
        <v>164</v>
      </c>
      <c r="C56" s="34">
        <v>5</v>
      </c>
      <c r="D56" s="34"/>
      <c r="E56" s="34" t="s">
        <v>71</v>
      </c>
      <c r="F56" s="23"/>
    </row>
  </sheetData>
  <mergeCells count="1">
    <mergeCell ref="A1:F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FE74E9-204C-7B47-947D-D9CF4E3B4A98}">
  <dimension ref="A1:F37"/>
  <sheetViews>
    <sheetView zoomScaleNormal="100" workbookViewId="0">
      <selection activeCell="A2" sqref="A2:XFD2"/>
    </sheetView>
  </sheetViews>
  <sheetFormatPr baseColWidth="10" defaultRowHeight="16"/>
  <cols>
    <col min="1" max="1" width="10.83203125" style="7"/>
    <col min="2" max="2" width="46.33203125" style="7" customWidth="1"/>
    <col min="3" max="3" width="70.6640625" style="7" customWidth="1"/>
    <col min="4" max="4" width="15" style="7" bestFit="1" customWidth="1"/>
    <col min="5" max="6" width="10.83203125" style="7"/>
    <col min="7" max="16384" width="10.83203125" style="1"/>
  </cols>
  <sheetData>
    <row r="1" spans="1:6" ht="20" thickBot="1">
      <c r="A1" s="237" t="s">
        <v>1041</v>
      </c>
      <c r="B1" s="238"/>
      <c r="C1" s="238"/>
      <c r="D1" s="238"/>
      <c r="E1" s="238"/>
      <c r="F1" s="239"/>
    </row>
    <row r="2" spans="1:6" ht="17" thickBot="1">
      <c r="A2" s="4" t="s">
        <v>918</v>
      </c>
      <c r="B2" s="4" t="s">
        <v>925</v>
      </c>
      <c r="C2" s="4" t="s">
        <v>926</v>
      </c>
      <c r="D2" s="4" t="s">
        <v>971</v>
      </c>
      <c r="E2" s="4" t="s">
        <v>0</v>
      </c>
      <c r="F2" s="5" t="s">
        <v>927</v>
      </c>
    </row>
    <row r="3" spans="1:6">
      <c r="A3" s="12" t="s">
        <v>179</v>
      </c>
      <c r="B3" s="14" t="s">
        <v>996</v>
      </c>
      <c r="C3" s="14" t="s">
        <v>180</v>
      </c>
      <c r="D3" s="14" t="s">
        <v>71</v>
      </c>
      <c r="E3" s="14"/>
      <c r="F3" s="15"/>
    </row>
    <row r="4" spans="1:6">
      <c r="A4" s="16" t="s">
        <v>181</v>
      </c>
      <c r="B4" s="18" t="s">
        <v>997</v>
      </c>
      <c r="C4" s="18" t="s">
        <v>998</v>
      </c>
      <c r="D4" s="18" t="s">
        <v>71</v>
      </c>
      <c r="E4" s="18"/>
      <c r="F4" s="19"/>
    </row>
    <row r="5" spans="1:6">
      <c r="A5" s="16" t="s">
        <v>182</v>
      </c>
      <c r="B5" s="18" t="s">
        <v>183</v>
      </c>
      <c r="C5" s="18" t="s">
        <v>999</v>
      </c>
      <c r="D5" s="18" t="s">
        <v>71</v>
      </c>
      <c r="E5" s="18"/>
      <c r="F5" s="19"/>
    </row>
    <row r="6" spans="1:6">
      <c r="A6" s="16" t="s">
        <v>184</v>
      </c>
      <c r="B6" s="18" t="s">
        <v>1000</v>
      </c>
      <c r="C6" s="18" t="s">
        <v>1001</v>
      </c>
      <c r="D6" s="18" t="s">
        <v>71</v>
      </c>
      <c r="E6" s="18"/>
      <c r="F6" s="19"/>
    </row>
    <row r="7" spans="1:6">
      <c r="A7" s="16" t="s">
        <v>185</v>
      </c>
      <c r="B7" s="18" t="s">
        <v>1002</v>
      </c>
      <c r="C7" s="18" t="s">
        <v>1003</v>
      </c>
      <c r="D7" s="18" t="s">
        <v>71</v>
      </c>
      <c r="E7" s="18"/>
      <c r="F7" s="19"/>
    </row>
    <row r="8" spans="1:6">
      <c r="A8" s="16" t="s">
        <v>186</v>
      </c>
      <c r="B8" s="18" t="s">
        <v>1004</v>
      </c>
      <c r="C8" s="18" t="s">
        <v>1005</v>
      </c>
      <c r="D8" s="18" t="s">
        <v>71</v>
      </c>
      <c r="E8" s="18"/>
      <c r="F8" s="19"/>
    </row>
    <row r="9" spans="1:6">
      <c r="A9" s="16" t="s">
        <v>187</v>
      </c>
      <c r="B9" s="18" t="s">
        <v>1006</v>
      </c>
      <c r="C9" s="18" t="s">
        <v>1007</v>
      </c>
      <c r="D9" s="18" t="s">
        <v>71</v>
      </c>
      <c r="E9" s="18"/>
      <c r="F9" s="19"/>
    </row>
    <row r="10" spans="1:6">
      <c r="A10" s="16" t="s">
        <v>188</v>
      </c>
      <c r="B10" s="18" t="s">
        <v>1008</v>
      </c>
      <c r="C10" s="18" t="s">
        <v>1009</v>
      </c>
      <c r="D10" s="18" t="s">
        <v>71</v>
      </c>
      <c r="E10" s="18"/>
      <c r="F10" s="19"/>
    </row>
    <row r="11" spans="1:6">
      <c r="A11" s="16" t="s">
        <v>189</v>
      </c>
      <c r="B11" s="18" t="s">
        <v>1010</v>
      </c>
      <c r="C11" s="18" t="s">
        <v>1011</v>
      </c>
      <c r="D11" s="18" t="s">
        <v>71</v>
      </c>
      <c r="E11" s="18"/>
      <c r="F11" s="19"/>
    </row>
    <row r="12" spans="1:6">
      <c r="A12" s="16" t="s">
        <v>190</v>
      </c>
      <c r="B12" s="18" t="s">
        <v>1012</v>
      </c>
      <c r="C12" s="18" t="s">
        <v>191</v>
      </c>
      <c r="D12" s="18" t="s">
        <v>71</v>
      </c>
      <c r="E12" s="18"/>
      <c r="F12" s="19"/>
    </row>
    <row r="13" spans="1:6">
      <c r="A13" s="16" t="s">
        <v>192</v>
      </c>
      <c r="B13" s="18" t="s">
        <v>1013</v>
      </c>
      <c r="C13" s="18" t="s">
        <v>1014</v>
      </c>
      <c r="D13" s="18" t="s">
        <v>71</v>
      </c>
      <c r="E13" s="18"/>
      <c r="F13" s="19"/>
    </row>
    <row r="14" spans="1:6">
      <c r="A14" s="16" t="s">
        <v>193</v>
      </c>
      <c r="B14" s="18" t="s">
        <v>1015</v>
      </c>
      <c r="C14" s="18" t="s">
        <v>1016</v>
      </c>
      <c r="D14" s="18" t="s">
        <v>71</v>
      </c>
      <c r="E14" s="18"/>
      <c r="F14" s="19"/>
    </row>
    <row r="15" spans="1:6">
      <c r="A15" s="16" t="s">
        <v>194</v>
      </c>
      <c r="B15" s="18" t="s">
        <v>1017</v>
      </c>
      <c r="C15" s="18" t="s">
        <v>1018</v>
      </c>
      <c r="D15" s="18" t="s">
        <v>71</v>
      </c>
      <c r="E15" s="18"/>
      <c r="F15" s="19"/>
    </row>
    <row r="16" spans="1:6">
      <c r="A16" s="16" t="s">
        <v>195</v>
      </c>
      <c r="B16" s="18" t="s">
        <v>1019</v>
      </c>
      <c r="C16" s="18" t="s">
        <v>1020</v>
      </c>
      <c r="D16" s="18" t="s">
        <v>71</v>
      </c>
      <c r="E16" s="18"/>
      <c r="F16" s="19"/>
    </row>
    <row r="17" spans="1:6">
      <c r="A17" s="16" t="s">
        <v>196</v>
      </c>
      <c r="B17" s="18" t="s">
        <v>1021</v>
      </c>
      <c r="C17" s="18" t="s">
        <v>1022</v>
      </c>
      <c r="D17" s="18" t="s">
        <v>71</v>
      </c>
      <c r="E17" s="18"/>
      <c r="F17" s="19"/>
    </row>
    <row r="18" spans="1:6">
      <c r="A18" s="16" t="s">
        <v>197</v>
      </c>
      <c r="B18" s="18" t="s">
        <v>1023</v>
      </c>
      <c r="C18" s="18" t="s">
        <v>1024</v>
      </c>
      <c r="D18" s="18" t="s">
        <v>71</v>
      </c>
      <c r="E18" s="18"/>
      <c r="F18" s="19"/>
    </row>
    <row r="19" spans="1:6">
      <c r="A19" s="16" t="s">
        <v>198</v>
      </c>
      <c r="B19" s="18" t="s">
        <v>1025</v>
      </c>
      <c r="C19" s="18" t="s">
        <v>1026</v>
      </c>
      <c r="D19" s="18" t="s">
        <v>71</v>
      </c>
      <c r="E19" s="18"/>
      <c r="F19" s="19"/>
    </row>
    <row r="20" spans="1:6">
      <c r="A20" s="16" t="s">
        <v>199</v>
      </c>
      <c r="B20" s="18" t="s">
        <v>1027</v>
      </c>
      <c r="C20" s="18" t="s">
        <v>1028</v>
      </c>
      <c r="D20" s="18" t="s">
        <v>71</v>
      </c>
      <c r="E20" s="18"/>
      <c r="F20" s="19"/>
    </row>
    <row r="21" spans="1:6">
      <c r="A21" s="16" t="s">
        <v>200</v>
      </c>
      <c r="B21" s="18" t="s">
        <v>201</v>
      </c>
      <c r="C21" s="18" t="s">
        <v>202</v>
      </c>
      <c r="D21" s="18" t="s">
        <v>71</v>
      </c>
      <c r="E21" s="18"/>
      <c r="F21" s="19"/>
    </row>
    <row r="22" spans="1:6">
      <c r="A22" s="16" t="s">
        <v>203</v>
      </c>
      <c r="B22" s="18" t="s">
        <v>204</v>
      </c>
      <c r="C22" s="18" t="s">
        <v>205</v>
      </c>
      <c r="D22" s="18" t="s">
        <v>71</v>
      </c>
      <c r="E22" s="18"/>
      <c r="F22" s="19"/>
    </row>
    <row r="23" spans="1:6">
      <c r="A23" s="16" t="s">
        <v>206</v>
      </c>
      <c r="B23" s="18" t="s">
        <v>1029</v>
      </c>
      <c r="C23" s="18" t="s">
        <v>1030</v>
      </c>
      <c r="D23" s="18" t="s">
        <v>71</v>
      </c>
      <c r="E23" s="18"/>
      <c r="F23" s="19"/>
    </row>
    <row r="24" spans="1:6">
      <c r="A24" s="16" t="s">
        <v>208</v>
      </c>
      <c r="B24" s="18" t="s">
        <v>1031</v>
      </c>
      <c r="C24" s="18" t="s">
        <v>1030</v>
      </c>
      <c r="D24" s="18" t="s">
        <v>71</v>
      </c>
      <c r="E24" s="18"/>
      <c r="F24" s="19"/>
    </row>
    <row r="25" spans="1:6">
      <c r="A25" s="16" t="s">
        <v>209</v>
      </c>
      <c r="B25" s="18" t="s">
        <v>1032</v>
      </c>
      <c r="C25" s="18" t="s">
        <v>210</v>
      </c>
      <c r="D25" s="18" t="s">
        <v>71</v>
      </c>
      <c r="E25" s="18"/>
      <c r="F25" s="19"/>
    </row>
    <row r="26" spans="1:6">
      <c r="A26" s="16" t="s">
        <v>211</v>
      </c>
      <c r="B26" s="18" t="s">
        <v>1033</v>
      </c>
      <c r="C26" s="18" t="s">
        <v>1034</v>
      </c>
      <c r="D26" s="18" t="s">
        <v>71</v>
      </c>
      <c r="E26" s="18"/>
      <c r="F26" s="19"/>
    </row>
    <row r="27" spans="1:6">
      <c r="A27" s="16" t="s">
        <v>212</v>
      </c>
      <c r="B27" s="18" t="s">
        <v>1035</v>
      </c>
      <c r="C27" s="18" t="s">
        <v>213</v>
      </c>
      <c r="D27" s="18" t="s">
        <v>71</v>
      </c>
      <c r="E27" s="18"/>
      <c r="F27" s="19"/>
    </row>
    <row r="28" spans="1:6">
      <c r="A28" s="16" t="s">
        <v>214</v>
      </c>
      <c r="B28" s="18" t="s">
        <v>1036</v>
      </c>
      <c r="C28" s="18" t="s">
        <v>1037</v>
      </c>
      <c r="D28" s="18" t="s">
        <v>71</v>
      </c>
      <c r="E28" s="18"/>
      <c r="F28" s="19"/>
    </row>
    <row r="29" spans="1:6">
      <c r="A29" s="16" t="s">
        <v>215</v>
      </c>
      <c r="B29" s="18" t="s">
        <v>1038</v>
      </c>
      <c r="C29" s="18" t="s">
        <v>216</v>
      </c>
      <c r="D29" s="18" t="s">
        <v>71</v>
      </c>
      <c r="E29" s="18"/>
      <c r="F29" s="19"/>
    </row>
    <row r="30" spans="1:6">
      <c r="A30" s="16" t="s">
        <v>217</v>
      </c>
      <c r="B30" s="18" t="s">
        <v>1039</v>
      </c>
      <c r="C30" s="18" t="s">
        <v>1040</v>
      </c>
      <c r="D30" s="18" t="s">
        <v>71</v>
      </c>
      <c r="E30" s="18"/>
      <c r="F30" s="19"/>
    </row>
    <row r="31" spans="1:6" ht="34">
      <c r="A31" s="16" t="s">
        <v>218</v>
      </c>
      <c r="B31" s="18" t="s">
        <v>219</v>
      </c>
      <c r="C31" s="60" t="s">
        <v>220</v>
      </c>
      <c r="D31" s="18" t="s">
        <v>71</v>
      </c>
      <c r="E31" s="18"/>
      <c r="F31" s="19"/>
    </row>
    <row r="32" spans="1:6" ht="17" thickBot="1">
      <c r="A32" s="20" t="s">
        <v>221</v>
      </c>
      <c r="B32" s="22" t="s">
        <v>222</v>
      </c>
      <c r="C32" s="22" t="s">
        <v>223</v>
      </c>
      <c r="D32" s="22" t="s">
        <v>71</v>
      </c>
      <c r="E32" s="22"/>
      <c r="F32" s="23"/>
    </row>
    <row r="33" s="1" customFormat="1"/>
    <row r="34" s="1" customFormat="1"/>
    <row r="35" s="1" customFormat="1"/>
    <row r="36" s="1" customFormat="1"/>
    <row r="37" s="1" customFormat="1"/>
  </sheetData>
  <mergeCells count="1">
    <mergeCell ref="A1:F1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3DAE0-1908-C348-8139-4B0FF29EFFEE}">
  <dimension ref="A1:G62"/>
  <sheetViews>
    <sheetView zoomScaleNormal="100" workbookViewId="0">
      <selection activeCell="C13" sqref="C13"/>
    </sheetView>
  </sheetViews>
  <sheetFormatPr baseColWidth="10" defaultRowHeight="16"/>
  <cols>
    <col min="1" max="1" width="14.83203125" style="1" customWidth="1"/>
    <col min="2" max="2" width="13.1640625" style="1" customWidth="1"/>
    <col min="3" max="3" width="87.1640625" style="1" customWidth="1"/>
    <col min="4" max="4" width="105" style="1" bestFit="1" customWidth="1"/>
    <col min="5" max="5" width="40.5" style="1" bestFit="1" customWidth="1"/>
    <col min="6" max="16384" width="10.83203125" style="1"/>
  </cols>
  <sheetData>
    <row r="1" spans="1:7" ht="20" thickBot="1">
      <c r="A1" s="243" t="s">
        <v>1043</v>
      </c>
      <c r="B1" s="244"/>
      <c r="C1" s="244"/>
      <c r="D1" s="244"/>
      <c r="E1" s="244"/>
      <c r="F1" s="244"/>
      <c r="G1" s="245"/>
    </row>
    <row r="2" spans="1:7" ht="18" thickBot="1">
      <c r="A2" s="151" t="s">
        <v>918</v>
      </c>
      <c r="B2" s="151" t="s">
        <v>68</v>
      </c>
      <c r="C2" s="151" t="s">
        <v>925</v>
      </c>
      <c r="D2" s="151" t="s">
        <v>926</v>
      </c>
      <c r="E2" s="151" t="s">
        <v>971</v>
      </c>
      <c r="F2" s="151" t="s">
        <v>0</v>
      </c>
      <c r="G2" s="152" t="s">
        <v>927</v>
      </c>
    </row>
    <row r="3" spans="1:7" ht="18">
      <c r="A3" s="153" t="s">
        <v>224</v>
      </c>
      <c r="B3" s="246" t="s">
        <v>339</v>
      </c>
      <c r="C3" s="154" t="s">
        <v>225</v>
      </c>
      <c r="D3" s="62" t="s">
        <v>226</v>
      </c>
      <c r="E3" s="62" t="b">
        <v>1</v>
      </c>
      <c r="F3" s="62" t="s">
        <v>71</v>
      </c>
      <c r="G3" s="63"/>
    </row>
    <row r="4" spans="1:7" ht="18">
      <c r="A4" s="155" t="s">
        <v>227</v>
      </c>
      <c r="B4" s="247"/>
      <c r="C4" s="156" t="s">
        <v>228</v>
      </c>
      <c r="D4" s="60" t="s">
        <v>229</v>
      </c>
      <c r="E4" s="60" t="b">
        <v>1</v>
      </c>
      <c r="F4" s="60" t="s">
        <v>71</v>
      </c>
      <c r="G4" s="64"/>
    </row>
    <row r="5" spans="1:7" ht="18">
      <c r="A5" s="155" t="s">
        <v>230</v>
      </c>
      <c r="B5" s="247"/>
      <c r="C5" s="156" t="s">
        <v>231</v>
      </c>
      <c r="D5" s="60" t="s">
        <v>232</v>
      </c>
      <c r="E5" s="60" t="b">
        <v>1</v>
      </c>
      <c r="F5" s="60" t="s">
        <v>71</v>
      </c>
      <c r="G5" s="64"/>
    </row>
    <row r="6" spans="1:7" ht="18">
      <c r="A6" s="155" t="s">
        <v>233</v>
      </c>
      <c r="B6" s="247"/>
      <c r="C6" s="156" t="s">
        <v>234</v>
      </c>
      <c r="D6" s="60" t="s">
        <v>235</v>
      </c>
      <c r="E6" s="60" t="b">
        <v>1</v>
      </c>
      <c r="F6" s="60" t="s">
        <v>71</v>
      </c>
      <c r="G6" s="64"/>
    </row>
    <row r="7" spans="1:7" ht="18">
      <c r="A7" s="155" t="s">
        <v>236</v>
      </c>
      <c r="B7" s="247"/>
      <c r="C7" s="156" t="s">
        <v>237</v>
      </c>
      <c r="D7" s="60" t="s">
        <v>235</v>
      </c>
      <c r="E7" s="60" t="b">
        <v>1</v>
      </c>
      <c r="F7" s="60" t="s">
        <v>71</v>
      </c>
      <c r="G7" s="64"/>
    </row>
    <row r="8" spans="1:7" ht="18">
      <c r="A8" s="155" t="s">
        <v>238</v>
      </c>
      <c r="B8" s="247"/>
      <c r="C8" s="156" t="s">
        <v>239</v>
      </c>
      <c r="D8" s="60" t="s">
        <v>235</v>
      </c>
      <c r="E8" s="60" t="b">
        <v>1</v>
      </c>
      <c r="F8" s="60" t="s">
        <v>71</v>
      </c>
      <c r="G8" s="64"/>
    </row>
    <row r="9" spans="1:7" ht="18">
      <c r="A9" s="155" t="s">
        <v>240</v>
      </c>
      <c r="B9" s="247"/>
      <c r="C9" s="156" t="s">
        <v>241</v>
      </c>
      <c r="D9" s="60" t="s">
        <v>235</v>
      </c>
      <c r="E9" s="60" t="b">
        <v>1</v>
      </c>
      <c r="F9" s="60" t="s">
        <v>71</v>
      </c>
      <c r="G9" s="64"/>
    </row>
    <row r="10" spans="1:7" ht="18">
      <c r="A10" s="155" t="s">
        <v>242</v>
      </c>
      <c r="B10" s="247"/>
      <c r="C10" s="156" t="s">
        <v>243</v>
      </c>
      <c r="D10" s="60" t="s">
        <v>244</v>
      </c>
      <c r="E10" s="60" t="b">
        <v>1</v>
      </c>
      <c r="F10" s="60" t="s">
        <v>71</v>
      </c>
      <c r="G10" s="64"/>
    </row>
    <row r="11" spans="1:7" ht="18">
      <c r="A11" s="155" t="s">
        <v>245</v>
      </c>
      <c r="B11" s="247"/>
      <c r="C11" s="156" t="s">
        <v>246</v>
      </c>
      <c r="D11" s="60" t="s">
        <v>247</v>
      </c>
      <c r="E11" s="60" t="b">
        <v>1</v>
      </c>
      <c r="F11" s="60" t="s">
        <v>71</v>
      </c>
      <c r="G11" s="64"/>
    </row>
    <row r="12" spans="1:7" ht="18">
      <c r="A12" s="155" t="s">
        <v>248</v>
      </c>
      <c r="B12" s="247"/>
      <c r="C12" s="156" t="s">
        <v>249</v>
      </c>
      <c r="D12" s="60" t="s">
        <v>250</v>
      </c>
      <c r="E12" s="60" t="s">
        <v>343</v>
      </c>
      <c r="F12" s="60" t="s">
        <v>71</v>
      </c>
      <c r="G12" s="64"/>
    </row>
    <row r="13" spans="1:7" ht="18">
      <c r="A13" s="155" t="s">
        <v>251</v>
      </c>
      <c r="B13" s="247"/>
      <c r="C13" s="156" t="s">
        <v>252</v>
      </c>
      <c r="D13" s="60" t="s">
        <v>344</v>
      </c>
      <c r="E13" s="60" t="b">
        <v>1</v>
      </c>
      <c r="F13" s="60" t="s">
        <v>71</v>
      </c>
      <c r="G13" s="64"/>
    </row>
    <row r="14" spans="1:7" ht="18">
      <c r="A14" s="157" t="s">
        <v>253</v>
      </c>
      <c r="B14" s="247"/>
      <c r="C14" s="158" t="s">
        <v>254</v>
      </c>
      <c r="D14" s="61" t="s">
        <v>1045</v>
      </c>
      <c r="E14" s="61" t="s">
        <v>1045</v>
      </c>
      <c r="F14" s="61" t="s">
        <v>70</v>
      </c>
      <c r="G14" s="68" t="s">
        <v>923</v>
      </c>
    </row>
    <row r="15" spans="1:7" ht="18">
      <c r="A15" s="155" t="s">
        <v>255</v>
      </c>
      <c r="B15" s="247"/>
      <c r="C15" s="156" t="s">
        <v>256</v>
      </c>
      <c r="D15" s="60" t="s">
        <v>257</v>
      </c>
      <c r="E15" s="60" t="b">
        <v>1</v>
      </c>
      <c r="F15" s="60" t="s">
        <v>71</v>
      </c>
      <c r="G15" s="64"/>
    </row>
    <row r="16" spans="1:7" ht="18">
      <c r="A16" s="157" t="s">
        <v>258</v>
      </c>
      <c r="B16" s="247"/>
      <c r="C16" s="158" t="s">
        <v>259</v>
      </c>
      <c r="D16" s="61" t="s">
        <v>1046</v>
      </c>
      <c r="E16" s="61" t="s">
        <v>1046</v>
      </c>
      <c r="F16" s="61" t="s">
        <v>70</v>
      </c>
      <c r="G16" s="68" t="s">
        <v>923</v>
      </c>
    </row>
    <row r="17" spans="1:7" ht="18">
      <c r="A17" s="155" t="s">
        <v>260</v>
      </c>
      <c r="B17" s="247"/>
      <c r="C17" s="156" t="s">
        <v>261</v>
      </c>
      <c r="D17" s="60" t="s">
        <v>262</v>
      </c>
      <c r="E17" s="60" t="b">
        <v>1</v>
      </c>
      <c r="F17" s="60" t="s">
        <v>71</v>
      </c>
      <c r="G17" s="64"/>
    </row>
    <row r="18" spans="1:7" ht="19" thickBot="1">
      <c r="A18" s="159" t="s">
        <v>334</v>
      </c>
      <c r="B18" s="247"/>
      <c r="C18" s="160" t="s">
        <v>335</v>
      </c>
      <c r="D18" s="161" t="s">
        <v>336</v>
      </c>
      <c r="E18" s="161" t="b">
        <v>1</v>
      </c>
      <c r="F18" s="161" t="s">
        <v>71</v>
      </c>
      <c r="G18" s="162"/>
    </row>
    <row r="19" spans="1:7" ht="18">
      <c r="A19" s="153" t="s">
        <v>1334</v>
      </c>
      <c r="B19" s="246" t="s">
        <v>340</v>
      </c>
      <c r="C19" s="154" t="s">
        <v>263</v>
      </c>
      <c r="D19" s="62" t="s">
        <v>345</v>
      </c>
      <c r="E19" s="62" t="b">
        <v>1</v>
      </c>
      <c r="F19" s="62" t="s">
        <v>71</v>
      </c>
      <c r="G19" s="63"/>
    </row>
    <row r="20" spans="1:7" ht="18">
      <c r="A20" s="155" t="s">
        <v>1335</v>
      </c>
      <c r="B20" s="247"/>
      <c r="C20" s="156" t="s">
        <v>264</v>
      </c>
      <c r="D20" s="60" t="s">
        <v>346</v>
      </c>
      <c r="E20" s="60" t="b">
        <v>1</v>
      </c>
      <c r="F20" s="60" t="s">
        <v>71</v>
      </c>
      <c r="G20" s="64"/>
    </row>
    <row r="21" spans="1:7" ht="18">
      <c r="A21" s="155" t="s">
        <v>1336</v>
      </c>
      <c r="B21" s="247"/>
      <c r="C21" s="156" t="s">
        <v>265</v>
      </c>
      <c r="D21" s="60" t="s">
        <v>266</v>
      </c>
      <c r="E21" s="60" t="b">
        <v>1</v>
      </c>
      <c r="F21" s="60" t="s">
        <v>71</v>
      </c>
      <c r="G21" s="64"/>
    </row>
    <row r="22" spans="1:7" ht="18">
      <c r="A22" s="155" t="s">
        <v>1337</v>
      </c>
      <c r="B22" s="247"/>
      <c r="C22" s="156" t="s">
        <v>267</v>
      </c>
      <c r="D22" s="60" t="s">
        <v>266</v>
      </c>
      <c r="E22" s="60" t="b">
        <v>1</v>
      </c>
      <c r="F22" s="60" t="s">
        <v>71</v>
      </c>
      <c r="G22" s="64"/>
    </row>
    <row r="23" spans="1:7" ht="18">
      <c r="A23" s="155" t="s">
        <v>1338</v>
      </c>
      <c r="B23" s="247"/>
      <c r="C23" s="156" t="s">
        <v>268</v>
      </c>
      <c r="D23" s="60" t="s">
        <v>266</v>
      </c>
      <c r="E23" s="60" t="b">
        <v>1</v>
      </c>
      <c r="F23" s="60" t="s">
        <v>71</v>
      </c>
      <c r="G23" s="64"/>
    </row>
    <row r="24" spans="1:7" ht="18">
      <c r="A24" s="155" t="s">
        <v>1339</v>
      </c>
      <c r="B24" s="247"/>
      <c r="C24" s="156" t="s">
        <v>347</v>
      </c>
      <c r="D24" s="60" t="s">
        <v>266</v>
      </c>
      <c r="E24" s="60" t="b">
        <v>1</v>
      </c>
      <c r="F24" s="60" t="s">
        <v>71</v>
      </c>
      <c r="G24" s="64"/>
    </row>
    <row r="25" spans="1:7" ht="18">
      <c r="A25" s="155" t="s">
        <v>1340</v>
      </c>
      <c r="B25" s="247"/>
      <c r="C25" s="156" t="s">
        <v>269</v>
      </c>
      <c r="D25" s="60" t="s">
        <v>270</v>
      </c>
      <c r="E25" s="60" t="b">
        <v>1</v>
      </c>
      <c r="F25" s="60" t="s">
        <v>71</v>
      </c>
      <c r="G25" s="64"/>
    </row>
    <row r="26" spans="1:7" ht="18">
      <c r="A26" s="155" t="s">
        <v>1341</v>
      </c>
      <c r="B26" s="247"/>
      <c r="C26" s="156" t="s">
        <v>271</v>
      </c>
      <c r="D26" s="60" t="s">
        <v>244</v>
      </c>
      <c r="E26" s="60" t="b">
        <v>1</v>
      </c>
      <c r="F26" s="60" t="s">
        <v>71</v>
      </c>
      <c r="G26" s="64"/>
    </row>
    <row r="27" spans="1:7" ht="18">
      <c r="A27" s="155" t="s">
        <v>1342</v>
      </c>
      <c r="B27" s="247"/>
      <c r="C27" s="156" t="s">
        <v>272</v>
      </c>
      <c r="D27" s="60" t="s">
        <v>247</v>
      </c>
      <c r="E27" s="60" t="b">
        <v>1</v>
      </c>
      <c r="F27" s="60" t="s">
        <v>71</v>
      </c>
      <c r="G27" s="64"/>
    </row>
    <row r="28" spans="1:7" ht="18">
      <c r="A28" s="155" t="s">
        <v>1343</v>
      </c>
      <c r="B28" s="247"/>
      <c r="C28" s="156" t="s">
        <v>273</v>
      </c>
      <c r="D28" s="60" t="s">
        <v>274</v>
      </c>
      <c r="E28" s="60"/>
      <c r="F28" s="60" t="s">
        <v>71</v>
      </c>
      <c r="G28" s="64"/>
    </row>
    <row r="29" spans="1:7" ht="18">
      <c r="A29" s="155" t="s">
        <v>1344</v>
      </c>
      <c r="B29" s="247"/>
      <c r="C29" s="156" t="s">
        <v>275</v>
      </c>
      <c r="D29" s="60" t="s">
        <v>276</v>
      </c>
      <c r="E29" s="60"/>
      <c r="F29" s="60" t="s">
        <v>71</v>
      </c>
      <c r="G29" s="64"/>
    </row>
    <row r="30" spans="1:7" ht="18">
      <c r="A30" s="155" t="s">
        <v>1345</v>
      </c>
      <c r="B30" s="247"/>
      <c r="C30" s="156" t="s">
        <v>277</v>
      </c>
      <c r="D30" s="60" t="s">
        <v>278</v>
      </c>
      <c r="E30" s="60" t="b">
        <v>1</v>
      </c>
      <c r="F30" s="60" t="s">
        <v>71</v>
      </c>
      <c r="G30" s="64"/>
    </row>
    <row r="31" spans="1:7" ht="18">
      <c r="A31" s="155" t="s">
        <v>1346</v>
      </c>
      <c r="B31" s="247"/>
      <c r="C31" s="156" t="s">
        <v>279</v>
      </c>
      <c r="D31" s="60" t="s">
        <v>280</v>
      </c>
      <c r="E31" s="60" t="b">
        <v>1</v>
      </c>
      <c r="F31" s="60" t="s">
        <v>71</v>
      </c>
      <c r="G31" s="64"/>
    </row>
    <row r="32" spans="1:7" ht="19" thickBot="1">
      <c r="A32" s="163" t="s">
        <v>1347</v>
      </c>
      <c r="B32" s="248"/>
      <c r="C32" s="164" t="s">
        <v>281</v>
      </c>
      <c r="D32" s="165" t="s">
        <v>282</v>
      </c>
      <c r="E32" s="165" t="b">
        <v>1</v>
      </c>
      <c r="F32" s="165" t="s">
        <v>71</v>
      </c>
      <c r="G32" s="166"/>
    </row>
    <row r="33" spans="1:7" ht="18">
      <c r="A33" s="167" t="s">
        <v>1348</v>
      </c>
      <c r="B33" s="247" t="s">
        <v>342</v>
      </c>
      <c r="C33" s="168" t="s">
        <v>283</v>
      </c>
      <c r="D33" s="169" t="s">
        <v>284</v>
      </c>
      <c r="E33" s="169" t="b">
        <v>1</v>
      </c>
      <c r="F33" s="169" t="s">
        <v>71</v>
      </c>
      <c r="G33" s="170"/>
    </row>
    <row r="34" spans="1:7" ht="18">
      <c r="A34" s="155" t="s">
        <v>1349</v>
      </c>
      <c r="B34" s="247"/>
      <c r="C34" s="156" t="s">
        <v>285</v>
      </c>
      <c r="D34" s="60" t="s">
        <v>284</v>
      </c>
      <c r="E34" s="60" t="b">
        <v>1</v>
      </c>
      <c r="F34" s="60" t="s">
        <v>71</v>
      </c>
      <c r="G34" s="64"/>
    </row>
    <row r="35" spans="1:7" ht="18">
      <c r="A35" s="155" t="s">
        <v>1350</v>
      </c>
      <c r="B35" s="247"/>
      <c r="C35" s="156" t="s">
        <v>286</v>
      </c>
      <c r="D35" s="60" t="s">
        <v>287</v>
      </c>
      <c r="E35" s="60" t="b">
        <v>1</v>
      </c>
      <c r="F35" s="60" t="s">
        <v>71</v>
      </c>
      <c r="G35" s="64"/>
    </row>
    <row r="36" spans="1:7" ht="18">
      <c r="A36" s="155" t="s">
        <v>1351</v>
      </c>
      <c r="B36" s="247"/>
      <c r="C36" s="156" t="s">
        <v>288</v>
      </c>
      <c r="D36" s="60" t="s">
        <v>289</v>
      </c>
      <c r="E36" s="60" t="b">
        <v>1</v>
      </c>
      <c r="F36" s="60" t="s">
        <v>71</v>
      </c>
      <c r="G36" s="64"/>
    </row>
    <row r="37" spans="1:7" ht="18">
      <c r="A37" s="155" t="s">
        <v>1352</v>
      </c>
      <c r="B37" s="247"/>
      <c r="C37" s="156" t="s">
        <v>290</v>
      </c>
      <c r="D37" s="60" t="s">
        <v>291</v>
      </c>
      <c r="E37" s="60" t="b">
        <v>1</v>
      </c>
      <c r="F37" s="60" t="s">
        <v>71</v>
      </c>
      <c r="G37" s="64"/>
    </row>
    <row r="38" spans="1:7" ht="18">
      <c r="A38" s="155" t="s">
        <v>1353</v>
      </c>
      <c r="B38" s="247"/>
      <c r="C38" s="156" t="s">
        <v>292</v>
      </c>
      <c r="D38" s="60" t="s">
        <v>293</v>
      </c>
      <c r="E38" s="60" t="b">
        <v>1</v>
      </c>
      <c r="F38" s="60" t="s">
        <v>71</v>
      </c>
      <c r="G38" s="64"/>
    </row>
    <row r="39" spans="1:7" ht="17">
      <c r="A39" s="155" t="s">
        <v>1354</v>
      </c>
      <c r="B39" s="247"/>
      <c r="C39" s="156" t="s">
        <v>294</v>
      </c>
      <c r="D39" s="60" t="s">
        <v>348</v>
      </c>
      <c r="E39" s="60" t="s">
        <v>348</v>
      </c>
      <c r="F39" s="60" t="s">
        <v>71</v>
      </c>
      <c r="G39" s="64"/>
    </row>
    <row r="40" spans="1:7" ht="18">
      <c r="A40" s="155" t="s">
        <v>1355</v>
      </c>
      <c r="B40" s="247"/>
      <c r="C40" s="156" t="s">
        <v>295</v>
      </c>
      <c r="D40" s="60" t="s">
        <v>296</v>
      </c>
      <c r="E40" s="60" t="b">
        <v>1</v>
      </c>
      <c r="F40" s="60" t="s">
        <v>71</v>
      </c>
      <c r="G40" s="64"/>
    </row>
    <row r="41" spans="1:7" ht="18">
      <c r="A41" s="155" t="s">
        <v>1356</v>
      </c>
      <c r="B41" s="247"/>
      <c r="C41" s="156" t="s">
        <v>297</v>
      </c>
      <c r="D41" s="60" t="s">
        <v>244</v>
      </c>
      <c r="E41" s="60" t="b">
        <v>1</v>
      </c>
      <c r="F41" s="60" t="s">
        <v>71</v>
      </c>
      <c r="G41" s="64"/>
    </row>
    <row r="42" spans="1:7" ht="17">
      <c r="A42" s="155" t="s">
        <v>1357</v>
      </c>
      <c r="B42" s="247"/>
      <c r="C42" s="156" t="s">
        <v>298</v>
      </c>
      <c r="D42" s="60" t="s">
        <v>299</v>
      </c>
      <c r="E42" s="60" t="b">
        <v>1</v>
      </c>
      <c r="F42" s="60" t="s">
        <v>71</v>
      </c>
      <c r="G42" s="64"/>
    </row>
    <row r="43" spans="1:7" ht="18">
      <c r="A43" s="155" t="s">
        <v>1358</v>
      </c>
      <c r="B43" s="247"/>
      <c r="C43" s="156" t="s">
        <v>300</v>
      </c>
      <c r="D43" s="60" t="s">
        <v>301</v>
      </c>
      <c r="E43" s="60" t="b">
        <v>1</v>
      </c>
      <c r="F43" s="60" t="s">
        <v>71</v>
      </c>
      <c r="G43" s="64"/>
    </row>
    <row r="44" spans="1:7" ht="18">
      <c r="A44" s="155" t="s">
        <v>1359</v>
      </c>
      <c r="B44" s="247"/>
      <c r="C44" s="156" t="s">
        <v>302</v>
      </c>
      <c r="D44" s="60" t="s">
        <v>301</v>
      </c>
      <c r="E44" s="60" t="b">
        <v>1</v>
      </c>
      <c r="F44" s="60" t="s">
        <v>71</v>
      </c>
      <c r="G44" s="64"/>
    </row>
    <row r="45" spans="1:7" ht="18">
      <c r="A45" s="157" t="s">
        <v>1360</v>
      </c>
      <c r="B45" s="247"/>
      <c r="C45" s="158" t="s">
        <v>303</v>
      </c>
      <c r="D45" s="61" t="s">
        <v>1044</v>
      </c>
      <c r="E45" s="61" t="s">
        <v>1044</v>
      </c>
      <c r="F45" s="61" t="s">
        <v>70</v>
      </c>
      <c r="G45" s="68" t="s">
        <v>923</v>
      </c>
    </row>
    <row r="46" spans="1:7" ht="17">
      <c r="A46" s="155" t="s">
        <v>1361</v>
      </c>
      <c r="B46" s="247"/>
      <c r="C46" s="156" t="s">
        <v>304</v>
      </c>
      <c r="D46" s="60" t="s">
        <v>305</v>
      </c>
      <c r="E46" s="60" t="b">
        <v>1</v>
      </c>
      <c r="F46" s="60" t="s">
        <v>71</v>
      </c>
      <c r="G46" s="64"/>
    </row>
    <row r="47" spans="1:7" ht="17">
      <c r="A47" s="155" t="s">
        <v>1362</v>
      </c>
      <c r="B47" s="247"/>
      <c r="C47" s="156" t="s">
        <v>306</v>
      </c>
      <c r="D47" s="60" t="s">
        <v>307</v>
      </c>
      <c r="E47" s="60" t="b">
        <v>1</v>
      </c>
      <c r="F47" s="60" t="s">
        <v>71</v>
      </c>
      <c r="G47" s="64"/>
    </row>
    <row r="48" spans="1:7" ht="18" thickBot="1">
      <c r="A48" s="159" t="s">
        <v>1363</v>
      </c>
      <c r="B48" s="247"/>
      <c r="C48" s="160" t="s">
        <v>308</v>
      </c>
      <c r="D48" s="161" t="s">
        <v>309</v>
      </c>
      <c r="E48" s="161" t="b">
        <v>1</v>
      </c>
      <c r="F48" s="161" t="s">
        <v>71</v>
      </c>
      <c r="G48" s="162"/>
    </row>
    <row r="49" spans="1:7" ht="18">
      <c r="A49" s="153" t="s">
        <v>1364</v>
      </c>
      <c r="B49" s="246" t="s">
        <v>341</v>
      </c>
      <c r="C49" s="154" t="s">
        <v>310</v>
      </c>
      <c r="D49" s="62" t="s">
        <v>311</v>
      </c>
      <c r="E49" s="62" t="b">
        <v>1</v>
      </c>
      <c r="F49" s="62" t="s">
        <v>71</v>
      </c>
      <c r="G49" s="63"/>
    </row>
    <row r="50" spans="1:7" ht="18">
      <c r="A50" s="155" t="s">
        <v>1365</v>
      </c>
      <c r="B50" s="247"/>
      <c r="C50" s="156" t="s">
        <v>312</v>
      </c>
      <c r="D50" s="60" t="s">
        <v>313</v>
      </c>
      <c r="E50" s="60" t="b">
        <v>1</v>
      </c>
      <c r="F50" s="60" t="s">
        <v>71</v>
      </c>
      <c r="G50" s="64"/>
    </row>
    <row r="51" spans="1:7" ht="18">
      <c r="A51" s="155" t="s">
        <v>1366</v>
      </c>
      <c r="B51" s="247"/>
      <c r="C51" s="156" t="s">
        <v>314</v>
      </c>
      <c r="D51" s="60" t="s">
        <v>315</v>
      </c>
      <c r="E51" s="60" t="b">
        <v>1</v>
      </c>
      <c r="F51" s="60" t="s">
        <v>71</v>
      </c>
      <c r="G51" s="64"/>
    </row>
    <row r="52" spans="1:7" ht="18">
      <c r="A52" s="155" t="s">
        <v>1367</v>
      </c>
      <c r="B52" s="247"/>
      <c r="C52" s="156" t="s">
        <v>316</v>
      </c>
      <c r="D52" s="60" t="s">
        <v>317</v>
      </c>
      <c r="E52" s="60" t="b">
        <v>1</v>
      </c>
      <c r="F52" s="60" t="s">
        <v>71</v>
      </c>
      <c r="G52" s="64"/>
    </row>
    <row r="53" spans="1:7" ht="18">
      <c r="A53" s="155" t="s">
        <v>1368</v>
      </c>
      <c r="B53" s="247"/>
      <c r="C53" s="156" t="s">
        <v>318</v>
      </c>
      <c r="D53" s="60" t="s">
        <v>317</v>
      </c>
      <c r="E53" s="60" t="b">
        <v>1</v>
      </c>
      <c r="F53" s="60" t="s">
        <v>71</v>
      </c>
      <c r="G53" s="64"/>
    </row>
    <row r="54" spans="1:7" ht="18">
      <c r="A54" s="155" t="s">
        <v>1369</v>
      </c>
      <c r="B54" s="247"/>
      <c r="C54" s="156" t="s">
        <v>319</v>
      </c>
      <c r="D54" s="60" t="s">
        <v>244</v>
      </c>
      <c r="E54" s="60" t="b">
        <v>1</v>
      </c>
      <c r="F54" s="60" t="s">
        <v>71</v>
      </c>
      <c r="G54" s="64"/>
    </row>
    <row r="55" spans="1:7" ht="18">
      <c r="A55" s="155" t="s">
        <v>1370</v>
      </c>
      <c r="B55" s="247"/>
      <c r="C55" s="156" t="s">
        <v>320</v>
      </c>
      <c r="D55" s="60" t="s">
        <v>321</v>
      </c>
      <c r="E55" s="60" t="b">
        <v>1</v>
      </c>
      <c r="F55" s="60" t="s">
        <v>71</v>
      </c>
      <c r="G55" s="64"/>
    </row>
    <row r="56" spans="1:7" ht="18">
      <c r="A56" s="155" t="s">
        <v>1371</v>
      </c>
      <c r="B56" s="247"/>
      <c r="C56" s="156" t="s">
        <v>322</v>
      </c>
      <c r="D56" s="60" t="s">
        <v>323</v>
      </c>
      <c r="E56" s="60" t="b">
        <v>1</v>
      </c>
      <c r="F56" s="60" t="s">
        <v>71</v>
      </c>
      <c r="G56" s="64"/>
    </row>
    <row r="57" spans="1:7" ht="18">
      <c r="A57" s="155" t="s">
        <v>1372</v>
      </c>
      <c r="B57" s="247"/>
      <c r="C57" s="156" t="s">
        <v>324</v>
      </c>
      <c r="D57" s="60" t="s">
        <v>325</v>
      </c>
      <c r="E57" s="60" t="b">
        <v>1</v>
      </c>
      <c r="F57" s="60" t="s">
        <v>71</v>
      </c>
      <c r="G57" s="64"/>
    </row>
    <row r="58" spans="1:7" ht="17">
      <c r="A58" s="155" t="s">
        <v>1373</v>
      </c>
      <c r="B58" s="247"/>
      <c r="C58" s="156" t="s">
        <v>326</v>
      </c>
      <c r="D58" s="60" t="s">
        <v>247</v>
      </c>
      <c r="E58" s="60" t="b">
        <v>1</v>
      </c>
      <c r="F58" s="60" t="s">
        <v>71</v>
      </c>
      <c r="G58" s="64"/>
    </row>
    <row r="59" spans="1:7" ht="18">
      <c r="A59" s="155" t="s">
        <v>1374</v>
      </c>
      <c r="B59" s="247"/>
      <c r="C59" s="156" t="s">
        <v>327</v>
      </c>
      <c r="D59" s="60" t="s">
        <v>328</v>
      </c>
      <c r="E59" s="60" t="b">
        <v>1</v>
      </c>
      <c r="F59" s="60" t="s">
        <v>71</v>
      </c>
      <c r="G59" s="64"/>
    </row>
    <row r="60" spans="1:7" ht="18">
      <c r="A60" s="155" t="s">
        <v>1375</v>
      </c>
      <c r="B60" s="247"/>
      <c r="C60" s="156" t="s">
        <v>329</v>
      </c>
      <c r="D60" s="60" t="s">
        <v>330</v>
      </c>
      <c r="E60" s="60" t="b">
        <v>1</v>
      </c>
      <c r="F60" s="60" t="s">
        <v>71</v>
      </c>
      <c r="G60" s="64"/>
    </row>
    <row r="61" spans="1:7" ht="17">
      <c r="A61" s="157" t="s">
        <v>1376</v>
      </c>
      <c r="B61" s="247"/>
      <c r="C61" s="158" t="s">
        <v>331</v>
      </c>
      <c r="D61" s="61" t="s">
        <v>349</v>
      </c>
      <c r="E61" s="61" t="s">
        <v>349</v>
      </c>
      <c r="F61" s="61" t="s">
        <v>70</v>
      </c>
      <c r="G61" s="68" t="s">
        <v>923</v>
      </c>
    </row>
    <row r="62" spans="1:7" ht="19" thickBot="1">
      <c r="A62" s="163" t="s">
        <v>1377</v>
      </c>
      <c r="B62" s="248"/>
      <c r="C62" s="164" t="s">
        <v>332</v>
      </c>
      <c r="D62" s="165" t="s">
        <v>333</v>
      </c>
      <c r="E62" s="165" t="b">
        <v>1</v>
      </c>
      <c r="F62" s="165" t="s">
        <v>71</v>
      </c>
      <c r="G62" s="166"/>
    </row>
  </sheetData>
  <mergeCells count="5">
    <mergeCell ref="A1:G1"/>
    <mergeCell ref="B3:B18"/>
    <mergeCell ref="B19:B32"/>
    <mergeCell ref="B33:B48"/>
    <mergeCell ref="B49:B62"/>
  </mergeCells>
  <phoneticPr fontId="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D494F7-71E2-8E4A-B86E-19DADC6D0173}">
  <dimension ref="A1:G74"/>
  <sheetViews>
    <sheetView workbookViewId="0">
      <selection activeCell="A2" sqref="A2:XFD2"/>
    </sheetView>
  </sheetViews>
  <sheetFormatPr baseColWidth="10" defaultRowHeight="16"/>
  <cols>
    <col min="1" max="1" width="18.5" style="7" customWidth="1"/>
    <col min="2" max="2" width="13.1640625" style="7" bestFit="1" customWidth="1"/>
    <col min="3" max="3" width="49.5" style="7" customWidth="1"/>
    <col min="4" max="4" width="62.83203125" style="7" customWidth="1"/>
    <col min="5" max="5" width="30.83203125" style="7" customWidth="1"/>
    <col min="6" max="16384" width="10.83203125" style="7"/>
  </cols>
  <sheetData>
    <row r="1" spans="1:7" ht="20" thickBot="1">
      <c r="A1" s="237" t="s">
        <v>1049</v>
      </c>
      <c r="B1" s="238"/>
      <c r="C1" s="238"/>
      <c r="D1" s="238"/>
      <c r="E1" s="238"/>
      <c r="F1" s="238"/>
      <c r="G1" s="239"/>
    </row>
    <row r="2" spans="1:7" ht="17" thickBot="1">
      <c r="A2" s="4" t="s">
        <v>918</v>
      </c>
      <c r="B2" s="4" t="s">
        <v>68</v>
      </c>
      <c r="C2" s="4" t="s">
        <v>925</v>
      </c>
      <c r="D2" s="4" t="s">
        <v>926</v>
      </c>
      <c r="E2" s="4" t="s">
        <v>971</v>
      </c>
      <c r="F2" s="4" t="s">
        <v>0</v>
      </c>
      <c r="G2" s="5" t="s">
        <v>927</v>
      </c>
    </row>
    <row r="3" spans="1:7">
      <c r="A3" s="42" t="s">
        <v>350</v>
      </c>
      <c r="B3" s="249" t="s">
        <v>475</v>
      </c>
      <c r="C3" s="13" t="s">
        <v>351</v>
      </c>
      <c r="D3" s="14" t="s">
        <v>352</v>
      </c>
      <c r="E3" s="14"/>
      <c r="F3" s="14" t="s">
        <v>71</v>
      </c>
      <c r="G3" s="15"/>
    </row>
    <row r="4" spans="1:7">
      <c r="A4" s="43" t="s">
        <v>353</v>
      </c>
      <c r="B4" s="250"/>
      <c r="C4" s="17" t="s">
        <v>354</v>
      </c>
      <c r="D4" s="18" t="s">
        <v>352</v>
      </c>
      <c r="E4" s="18"/>
      <c r="F4" s="18" t="s">
        <v>71</v>
      </c>
      <c r="G4" s="19"/>
    </row>
    <row r="5" spans="1:7">
      <c r="A5" s="44" t="s">
        <v>355</v>
      </c>
      <c r="B5" s="250"/>
      <c r="C5" s="9" t="s">
        <v>356</v>
      </c>
      <c r="D5" s="10" t="s">
        <v>1051</v>
      </c>
      <c r="E5" s="10" t="s">
        <v>1050</v>
      </c>
      <c r="F5" s="10" t="s">
        <v>70</v>
      </c>
      <c r="G5" s="11" t="s">
        <v>923</v>
      </c>
    </row>
    <row r="6" spans="1:7">
      <c r="A6" s="43" t="s">
        <v>358</v>
      </c>
      <c r="B6" s="250"/>
      <c r="C6" s="17" t="s">
        <v>359</v>
      </c>
      <c r="D6" s="18" t="s">
        <v>360</v>
      </c>
      <c r="E6" s="18"/>
      <c r="F6" s="18" t="s">
        <v>71</v>
      </c>
      <c r="G6" s="19"/>
    </row>
    <row r="7" spans="1:7">
      <c r="A7" s="43" t="s">
        <v>361</v>
      </c>
      <c r="B7" s="250"/>
      <c r="C7" s="17" t="s">
        <v>362</v>
      </c>
      <c r="D7" s="18" t="s">
        <v>360</v>
      </c>
      <c r="E7" s="18"/>
      <c r="F7" s="18" t="s">
        <v>71</v>
      </c>
      <c r="G7" s="19"/>
    </row>
    <row r="8" spans="1:7">
      <c r="A8" s="43" t="s">
        <v>363</v>
      </c>
      <c r="B8" s="250"/>
      <c r="C8" s="17" t="s">
        <v>364</v>
      </c>
      <c r="D8" s="18" t="s">
        <v>357</v>
      </c>
      <c r="E8" s="18"/>
      <c r="F8" s="18" t="s">
        <v>71</v>
      </c>
      <c r="G8" s="19"/>
    </row>
    <row r="9" spans="1:7">
      <c r="A9" s="43" t="s">
        <v>365</v>
      </c>
      <c r="B9" s="250"/>
      <c r="C9" s="17" t="s">
        <v>366</v>
      </c>
      <c r="D9" s="18" t="s">
        <v>357</v>
      </c>
      <c r="E9" s="18"/>
      <c r="F9" s="18" t="s">
        <v>71</v>
      </c>
      <c r="G9" s="19"/>
    </row>
    <row r="10" spans="1:7">
      <c r="A10" s="43" t="s">
        <v>367</v>
      </c>
      <c r="B10" s="250"/>
      <c r="C10" s="17" t="s">
        <v>368</v>
      </c>
      <c r="D10" s="18" t="s">
        <v>357</v>
      </c>
      <c r="E10" s="18"/>
      <c r="F10" s="18" t="s">
        <v>71</v>
      </c>
      <c r="G10" s="19"/>
    </row>
    <row r="11" spans="1:7">
      <c r="A11" s="43" t="s">
        <v>369</v>
      </c>
      <c r="B11" s="250"/>
      <c r="C11" s="17" t="s">
        <v>370</v>
      </c>
      <c r="D11" s="18" t="s">
        <v>371</v>
      </c>
      <c r="E11" s="18"/>
      <c r="F11" s="18" t="s">
        <v>71</v>
      </c>
      <c r="G11" s="19"/>
    </row>
    <row r="12" spans="1:7">
      <c r="A12" s="44" t="s">
        <v>372</v>
      </c>
      <c r="B12" s="250"/>
      <c r="C12" s="9" t="s">
        <v>373</v>
      </c>
      <c r="D12" s="10" t="s">
        <v>348</v>
      </c>
      <c r="E12" s="10" t="s">
        <v>481</v>
      </c>
      <c r="F12" s="10" t="s">
        <v>70</v>
      </c>
      <c r="G12" s="11" t="s">
        <v>923</v>
      </c>
    </row>
    <row r="13" spans="1:7">
      <c r="A13" s="43" t="s">
        <v>374</v>
      </c>
      <c r="B13" s="250"/>
      <c r="C13" s="17" t="s">
        <v>375</v>
      </c>
      <c r="D13" s="18" t="s">
        <v>376</v>
      </c>
      <c r="E13" s="18"/>
      <c r="F13" s="18" t="s">
        <v>71</v>
      </c>
      <c r="G13" s="19"/>
    </row>
    <row r="14" spans="1:7" ht="17" thickBot="1">
      <c r="A14" s="46" t="s">
        <v>377</v>
      </c>
      <c r="B14" s="252"/>
      <c r="C14" s="47" t="s">
        <v>378</v>
      </c>
      <c r="D14" s="48" t="s">
        <v>379</v>
      </c>
      <c r="E14" s="48"/>
      <c r="F14" s="48" t="s">
        <v>71</v>
      </c>
      <c r="G14" s="49"/>
    </row>
    <row r="15" spans="1:7">
      <c r="A15" s="42" t="s">
        <v>395</v>
      </c>
      <c r="B15" s="249" t="s">
        <v>476</v>
      </c>
      <c r="C15" s="13" t="s">
        <v>380</v>
      </c>
      <c r="D15" s="14" t="s">
        <v>482</v>
      </c>
      <c r="E15" s="14"/>
      <c r="F15" s="14" t="s">
        <v>71</v>
      </c>
      <c r="G15" s="15"/>
    </row>
    <row r="16" spans="1:7">
      <c r="A16" s="43" t="s">
        <v>1275</v>
      </c>
      <c r="B16" s="250"/>
      <c r="C16" s="17" t="s">
        <v>381</v>
      </c>
      <c r="D16" s="18" t="s">
        <v>382</v>
      </c>
      <c r="E16" s="18"/>
      <c r="F16" s="18" t="s">
        <v>71</v>
      </c>
      <c r="G16" s="19"/>
    </row>
    <row r="17" spans="1:7">
      <c r="A17" s="43" t="s">
        <v>1276</v>
      </c>
      <c r="B17" s="250"/>
      <c r="C17" s="17" t="s">
        <v>383</v>
      </c>
      <c r="D17" s="18" t="s">
        <v>1052</v>
      </c>
      <c r="E17" s="18"/>
      <c r="F17" s="18" t="s">
        <v>71</v>
      </c>
      <c r="G17" s="19"/>
    </row>
    <row r="18" spans="1:7">
      <c r="A18" s="43" t="s">
        <v>1277</v>
      </c>
      <c r="B18" s="250"/>
      <c r="C18" s="17" t="s">
        <v>384</v>
      </c>
      <c r="D18" s="18" t="s">
        <v>360</v>
      </c>
      <c r="E18" s="18"/>
      <c r="F18" s="18" t="s">
        <v>71</v>
      </c>
      <c r="G18" s="19"/>
    </row>
    <row r="19" spans="1:7">
      <c r="A19" s="43" t="s">
        <v>1278</v>
      </c>
      <c r="B19" s="250"/>
      <c r="C19" s="17" t="s">
        <v>385</v>
      </c>
      <c r="D19" s="18" t="s">
        <v>360</v>
      </c>
      <c r="E19" s="18"/>
      <c r="F19" s="18" t="s">
        <v>71</v>
      </c>
      <c r="G19" s="19"/>
    </row>
    <row r="20" spans="1:7">
      <c r="A20" s="43" t="s">
        <v>1279</v>
      </c>
      <c r="B20" s="250"/>
      <c r="C20" s="17" t="s">
        <v>386</v>
      </c>
      <c r="D20" s="18" t="s">
        <v>387</v>
      </c>
      <c r="E20" s="18"/>
      <c r="F20" s="18" t="s">
        <v>71</v>
      </c>
      <c r="G20" s="19"/>
    </row>
    <row r="21" spans="1:7">
      <c r="A21" s="43" t="s">
        <v>1280</v>
      </c>
      <c r="B21" s="250"/>
      <c r="C21" s="17" t="s">
        <v>388</v>
      </c>
      <c r="D21" s="18" t="s">
        <v>387</v>
      </c>
      <c r="E21" s="18"/>
      <c r="F21" s="18" t="s">
        <v>71</v>
      </c>
      <c r="G21" s="19"/>
    </row>
    <row r="22" spans="1:7">
      <c r="A22" s="44" t="s">
        <v>1281</v>
      </c>
      <c r="B22" s="250"/>
      <c r="C22" s="9" t="s">
        <v>389</v>
      </c>
      <c r="D22" s="10" t="s">
        <v>1053</v>
      </c>
      <c r="E22" s="10" t="s">
        <v>1050</v>
      </c>
      <c r="F22" s="10" t="s">
        <v>70</v>
      </c>
      <c r="G22" s="11" t="s">
        <v>923</v>
      </c>
    </row>
    <row r="23" spans="1:7">
      <c r="A23" s="43" t="s">
        <v>1282</v>
      </c>
      <c r="B23" s="250"/>
      <c r="C23" s="17" t="s">
        <v>390</v>
      </c>
      <c r="D23" s="18" t="s">
        <v>371</v>
      </c>
      <c r="E23" s="18"/>
      <c r="F23" s="18" t="s">
        <v>71</v>
      </c>
      <c r="G23" s="19"/>
    </row>
    <row r="24" spans="1:7">
      <c r="A24" s="43" t="s">
        <v>1283</v>
      </c>
      <c r="B24" s="250"/>
      <c r="C24" s="17" t="s">
        <v>391</v>
      </c>
      <c r="D24" s="18" t="s">
        <v>1054</v>
      </c>
      <c r="E24" s="18"/>
      <c r="F24" s="18" t="s">
        <v>71</v>
      </c>
      <c r="G24" s="19"/>
    </row>
    <row r="25" spans="1:7">
      <c r="A25" s="43" t="s">
        <v>1284</v>
      </c>
      <c r="B25" s="250"/>
      <c r="C25" s="17" t="s">
        <v>392</v>
      </c>
      <c r="D25" s="18" t="s">
        <v>393</v>
      </c>
      <c r="E25" s="18"/>
      <c r="F25" s="18" t="s">
        <v>71</v>
      </c>
      <c r="G25" s="19"/>
    </row>
    <row r="26" spans="1:7">
      <c r="A26" s="43" t="s">
        <v>1285</v>
      </c>
      <c r="B26" s="250"/>
      <c r="C26" s="17" t="s">
        <v>373</v>
      </c>
      <c r="D26" s="18" t="s">
        <v>394</v>
      </c>
      <c r="E26" s="18"/>
      <c r="F26" s="18" t="s">
        <v>71</v>
      </c>
      <c r="G26" s="19"/>
    </row>
    <row r="27" spans="1:7" ht="17" thickBot="1">
      <c r="A27" s="45" t="s">
        <v>1286</v>
      </c>
      <c r="B27" s="251"/>
      <c r="C27" s="21" t="s">
        <v>396</v>
      </c>
      <c r="D27" s="22" t="s">
        <v>397</v>
      </c>
      <c r="E27" s="22"/>
      <c r="F27" s="22" t="s">
        <v>71</v>
      </c>
      <c r="G27" s="23"/>
    </row>
    <row r="28" spans="1:7">
      <c r="A28" s="50" t="s">
        <v>1287</v>
      </c>
      <c r="B28" s="253" t="s">
        <v>477</v>
      </c>
      <c r="C28" s="51" t="s">
        <v>398</v>
      </c>
      <c r="D28" s="52" t="s">
        <v>399</v>
      </c>
      <c r="E28" s="52"/>
      <c r="F28" s="52" t="s">
        <v>71</v>
      </c>
      <c r="G28" s="53"/>
    </row>
    <row r="29" spans="1:7">
      <c r="A29" s="43" t="s">
        <v>1288</v>
      </c>
      <c r="B29" s="250"/>
      <c r="C29" s="17" t="s">
        <v>400</v>
      </c>
      <c r="D29" s="18" t="s">
        <v>401</v>
      </c>
      <c r="E29" s="18"/>
      <c r="F29" s="18" t="s">
        <v>71</v>
      </c>
      <c r="G29" s="19"/>
    </row>
    <row r="30" spans="1:7">
      <c r="A30" s="43" t="s">
        <v>1289</v>
      </c>
      <c r="B30" s="250"/>
      <c r="C30" s="17" t="s">
        <v>402</v>
      </c>
      <c r="D30" s="18" t="s">
        <v>403</v>
      </c>
      <c r="E30" s="18"/>
      <c r="F30" s="18" t="s">
        <v>71</v>
      </c>
      <c r="G30" s="19"/>
    </row>
    <row r="31" spans="1:7">
      <c r="A31" s="43" t="s">
        <v>1290</v>
      </c>
      <c r="B31" s="250"/>
      <c r="C31" s="17" t="s">
        <v>404</v>
      </c>
      <c r="D31" s="18" t="s">
        <v>405</v>
      </c>
      <c r="E31" s="18"/>
      <c r="F31" s="18" t="s">
        <v>71</v>
      </c>
      <c r="G31" s="19"/>
    </row>
    <row r="32" spans="1:7">
      <c r="A32" s="43" t="s">
        <v>1291</v>
      </c>
      <c r="B32" s="250"/>
      <c r="C32" s="17" t="s">
        <v>406</v>
      </c>
      <c r="D32" s="18" t="s">
        <v>405</v>
      </c>
      <c r="E32" s="18"/>
      <c r="F32" s="18" t="s">
        <v>71</v>
      </c>
      <c r="G32" s="19"/>
    </row>
    <row r="33" spans="1:7">
      <c r="A33" s="43" t="s">
        <v>1292</v>
      </c>
      <c r="B33" s="250"/>
      <c r="C33" s="17" t="s">
        <v>407</v>
      </c>
      <c r="D33" s="18" t="s">
        <v>408</v>
      </c>
      <c r="E33" s="18"/>
      <c r="F33" s="18" t="s">
        <v>71</v>
      </c>
      <c r="G33" s="19"/>
    </row>
    <row r="34" spans="1:7">
      <c r="A34" s="43" t="s">
        <v>1293</v>
      </c>
      <c r="B34" s="250"/>
      <c r="C34" s="17" t="s">
        <v>409</v>
      </c>
      <c r="D34" s="18" t="s">
        <v>410</v>
      </c>
      <c r="E34" s="18"/>
      <c r="F34" s="18" t="s">
        <v>71</v>
      </c>
      <c r="G34" s="19"/>
    </row>
    <row r="35" spans="1:7">
      <c r="A35" s="43" t="s">
        <v>1294</v>
      </c>
      <c r="B35" s="250"/>
      <c r="C35" s="17" t="s">
        <v>411</v>
      </c>
      <c r="D35" s="18" t="s">
        <v>412</v>
      </c>
      <c r="E35" s="18"/>
      <c r="F35" s="18" t="s">
        <v>71</v>
      </c>
      <c r="G35" s="19"/>
    </row>
    <row r="36" spans="1:7">
      <c r="A36" s="43" t="s">
        <v>1295</v>
      </c>
      <c r="B36" s="250"/>
      <c r="C36" s="17" t="s">
        <v>413</v>
      </c>
      <c r="D36" s="18" t="s">
        <v>414</v>
      </c>
      <c r="E36" s="18"/>
      <c r="F36" s="18" t="s">
        <v>71</v>
      </c>
      <c r="G36" s="19"/>
    </row>
    <row r="37" spans="1:7">
      <c r="A37" s="43" t="s">
        <v>1296</v>
      </c>
      <c r="B37" s="250"/>
      <c r="C37" s="17" t="s">
        <v>415</v>
      </c>
      <c r="D37" s="18" t="s">
        <v>416</v>
      </c>
      <c r="E37" s="18"/>
      <c r="F37" s="18" t="s">
        <v>71</v>
      </c>
      <c r="G37" s="19"/>
    </row>
    <row r="38" spans="1:7">
      <c r="A38" s="43" t="s">
        <v>1297</v>
      </c>
      <c r="B38" s="250"/>
      <c r="C38" s="17" t="s">
        <v>417</v>
      </c>
      <c r="D38" s="18" t="s">
        <v>371</v>
      </c>
      <c r="E38" s="18"/>
      <c r="F38" s="18" t="s">
        <v>71</v>
      </c>
      <c r="G38" s="19"/>
    </row>
    <row r="39" spans="1:7">
      <c r="A39" s="43" t="s">
        <v>1298</v>
      </c>
      <c r="B39" s="250"/>
      <c r="C39" s="17" t="s">
        <v>373</v>
      </c>
      <c r="D39" s="18" t="s">
        <v>394</v>
      </c>
      <c r="E39" s="18"/>
      <c r="F39" s="18" t="s">
        <v>71</v>
      </c>
      <c r="G39" s="19"/>
    </row>
    <row r="40" spans="1:7" ht="17" thickBot="1">
      <c r="A40" s="46" t="s">
        <v>1299</v>
      </c>
      <c r="B40" s="252"/>
      <c r="C40" s="47" t="s">
        <v>418</v>
      </c>
      <c r="D40" s="48" t="s">
        <v>419</v>
      </c>
      <c r="E40" s="48"/>
      <c r="F40" s="48" t="s">
        <v>71</v>
      </c>
      <c r="G40" s="49"/>
    </row>
    <row r="41" spans="1:7">
      <c r="A41" s="42" t="s">
        <v>1300</v>
      </c>
      <c r="B41" s="249" t="s">
        <v>478</v>
      </c>
      <c r="C41" s="13" t="s">
        <v>420</v>
      </c>
      <c r="D41" s="14" t="s">
        <v>421</v>
      </c>
      <c r="E41" s="14"/>
      <c r="F41" s="14" t="s">
        <v>71</v>
      </c>
      <c r="G41" s="15"/>
    </row>
    <row r="42" spans="1:7">
      <c r="A42" s="43" t="s">
        <v>1301</v>
      </c>
      <c r="B42" s="250"/>
      <c r="C42" s="17" t="s">
        <v>422</v>
      </c>
      <c r="D42" s="18" t="s">
        <v>423</v>
      </c>
      <c r="E42" s="18"/>
      <c r="F42" s="18" t="s">
        <v>71</v>
      </c>
      <c r="G42" s="19"/>
    </row>
    <row r="43" spans="1:7">
      <c r="A43" s="43" t="s">
        <v>1302</v>
      </c>
      <c r="B43" s="250"/>
      <c r="C43" s="17" t="s">
        <v>424</v>
      </c>
      <c r="D43" s="18" t="s">
        <v>425</v>
      </c>
      <c r="E43" s="18"/>
      <c r="F43" s="18" t="s">
        <v>71</v>
      </c>
      <c r="G43" s="19"/>
    </row>
    <row r="44" spans="1:7">
      <c r="A44" s="43" t="s">
        <v>1303</v>
      </c>
      <c r="B44" s="250"/>
      <c r="C44" s="17" t="s">
        <v>426</v>
      </c>
      <c r="D44" s="18" t="s">
        <v>427</v>
      </c>
      <c r="E44" s="18"/>
      <c r="F44" s="18" t="s">
        <v>71</v>
      </c>
      <c r="G44" s="19"/>
    </row>
    <row r="45" spans="1:7">
      <c r="A45" s="43" t="s">
        <v>1304</v>
      </c>
      <c r="B45" s="250"/>
      <c r="C45" s="17" t="s">
        <v>428</v>
      </c>
      <c r="D45" s="18" t="s">
        <v>427</v>
      </c>
      <c r="E45" s="18"/>
      <c r="F45" s="18" t="s">
        <v>71</v>
      </c>
      <c r="G45" s="19"/>
    </row>
    <row r="46" spans="1:7">
      <c r="A46" s="43" t="s">
        <v>1305</v>
      </c>
      <c r="B46" s="250"/>
      <c r="C46" s="17" t="s">
        <v>429</v>
      </c>
      <c r="D46" s="18" t="s">
        <v>430</v>
      </c>
      <c r="E46" s="18"/>
      <c r="F46" s="18" t="s">
        <v>71</v>
      </c>
      <c r="G46" s="19"/>
    </row>
    <row r="47" spans="1:7">
      <c r="A47" s="43" t="s">
        <v>1306</v>
      </c>
      <c r="B47" s="250"/>
      <c r="C47" s="17" t="s">
        <v>431</v>
      </c>
      <c r="D47" s="18" t="s">
        <v>432</v>
      </c>
      <c r="E47" s="18"/>
      <c r="F47" s="18" t="s">
        <v>71</v>
      </c>
      <c r="G47" s="19"/>
    </row>
    <row r="48" spans="1:7">
      <c r="A48" s="43" t="s">
        <v>1307</v>
      </c>
      <c r="B48" s="250"/>
      <c r="C48" s="17" t="s">
        <v>433</v>
      </c>
      <c r="D48" s="18" t="s">
        <v>371</v>
      </c>
      <c r="E48" s="18"/>
      <c r="F48" s="18" t="s">
        <v>71</v>
      </c>
      <c r="G48" s="19"/>
    </row>
    <row r="49" spans="1:7">
      <c r="A49" s="43" t="s">
        <v>1308</v>
      </c>
      <c r="B49" s="250"/>
      <c r="C49" s="17" t="s">
        <v>434</v>
      </c>
      <c r="D49" s="18" t="s">
        <v>394</v>
      </c>
      <c r="E49" s="18"/>
      <c r="F49" s="18" t="s">
        <v>71</v>
      </c>
      <c r="G49" s="19"/>
    </row>
    <row r="50" spans="1:7">
      <c r="A50" s="43" t="s">
        <v>1309</v>
      </c>
      <c r="B50" s="250"/>
      <c r="C50" s="17" t="s">
        <v>435</v>
      </c>
      <c r="D50" s="18" t="s">
        <v>436</v>
      </c>
      <c r="E50" s="18"/>
      <c r="F50" s="18" t="s">
        <v>71</v>
      </c>
      <c r="G50" s="19"/>
    </row>
    <row r="51" spans="1:7" ht="17" thickBot="1">
      <c r="A51" s="45" t="s">
        <v>1310</v>
      </c>
      <c r="B51" s="251"/>
      <c r="C51" s="21" t="s">
        <v>437</v>
      </c>
      <c r="D51" s="22" t="s">
        <v>438</v>
      </c>
      <c r="E51" s="22"/>
      <c r="F51" s="22" t="s">
        <v>71</v>
      </c>
      <c r="G51" s="23"/>
    </row>
    <row r="52" spans="1:7">
      <c r="A52" s="50" t="s">
        <v>1311</v>
      </c>
      <c r="B52" s="253" t="s">
        <v>480</v>
      </c>
      <c r="C52" s="51" t="s">
        <v>439</v>
      </c>
      <c r="D52" s="52" t="s">
        <v>440</v>
      </c>
      <c r="E52" s="52"/>
      <c r="F52" s="52" t="s">
        <v>71</v>
      </c>
      <c r="G52" s="53"/>
    </row>
    <row r="53" spans="1:7">
      <c r="A53" s="43" t="s">
        <v>1312</v>
      </c>
      <c r="B53" s="250"/>
      <c r="C53" s="17" t="s">
        <v>441</v>
      </c>
      <c r="D53" s="18" t="s">
        <v>442</v>
      </c>
      <c r="E53" s="18"/>
      <c r="F53" s="18" t="s">
        <v>71</v>
      </c>
      <c r="G53" s="19"/>
    </row>
    <row r="54" spans="1:7">
      <c r="A54" s="43" t="s">
        <v>1313</v>
      </c>
      <c r="B54" s="250"/>
      <c r="C54" s="17" t="s">
        <v>443</v>
      </c>
      <c r="D54" s="18" t="s">
        <v>444</v>
      </c>
      <c r="E54" s="18"/>
      <c r="F54" s="18" t="s">
        <v>71</v>
      </c>
      <c r="G54" s="19"/>
    </row>
    <row r="55" spans="1:7">
      <c r="A55" s="43" t="s">
        <v>1314</v>
      </c>
      <c r="B55" s="250"/>
      <c r="C55" s="17" t="s">
        <v>445</v>
      </c>
      <c r="D55" s="18" t="s">
        <v>446</v>
      </c>
      <c r="E55" s="18"/>
      <c r="F55" s="18" t="s">
        <v>71</v>
      </c>
      <c r="G55" s="19"/>
    </row>
    <row r="56" spans="1:7">
      <c r="A56" s="43" t="s">
        <v>1315</v>
      </c>
      <c r="B56" s="250"/>
      <c r="C56" s="17" t="s">
        <v>447</v>
      </c>
      <c r="D56" s="18" t="s">
        <v>446</v>
      </c>
      <c r="E56" s="18"/>
      <c r="F56" s="18" t="s">
        <v>71</v>
      </c>
      <c r="G56" s="19"/>
    </row>
    <row r="57" spans="1:7">
      <c r="A57" s="43" t="s">
        <v>1316</v>
      </c>
      <c r="B57" s="250"/>
      <c r="C57" s="17" t="s">
        <v>448</v>
      </c>
      <c r="D57" s="18" t="s">
        <v>449</v>
      </c>
      <c r="E57" s="18"/>
      <c r="F57" s="18" t="s">
        <v>71</v>
      </c>
      <c r="G57" s="19"/>
    </row>
    <row r="58" spans="1:7">
      <c r="A58" s="43" t="s">
        <v>1317</v>
      </c>
      <c r="B58" s="250"/>
      <c r="C58" s="17" t="s">
        <v>450</v>
      </c>
      <c r="D58" s="18" t="s">
        <v>451</v>
      </c>
      <c r="E58" s="18"/>
      <c r="F58" s="18" t="s">
        <v>71</v>
      </c>
      <c r="G58" s="19"/>
    </row>
    <row r="59" spans="1:7">
      <c r="A59" s="43" t="s">
        <v>1318</v>
      </c>
      <c r="B59" s="250"/>
      <c r="C59" s="17" t="s">
        <v>452</v>
      </c>
      <c r="D59" s="18" t="s">
        <v>371</v>
      </c>
      <c r="E59" s="18"/>
      <c r="F59" s="18" t="s">
        <v>71</v>
      </c>
      <c r="G59" s="19"/>
    </row>
    <row r="60" spans="1:7">
      <c r="A60" s="43" t="s">
        <v>1319</v>
      </c>
      <c r="B60" s="250"/>
      <c r="C60" s="17" t="s">
        <v>453</v>
      </c>
      <c r="D60" s="18" t="s">
        <v>394</v>
      </c>
      <c r="E60" s="18"/>
      <c r="F60" s="18" t="s">
        <v>71</v>
      </c>
      <c r="G60" s="19"/>
    </row>
    <row r="61" spans="1:7">
      <c r="A61" s="43" t="s">
        <v>1320</v>
      </c>
      <c r="B61" s="250"/>
      <c r="C61" s="17" t="s">
        <v>454</v>
      </c>
      <c r="D61" s="18" t="s">
        <v>455</v>
      </c>
      <c r="E61" s="18"/>
      <c r="F61" s="18" t="s">
        <v>71</v>
      </c>
      <c r="G61" s="19"/>
    </row>
    <row r="62" spans="1:7" ht="17" thickBot="1">
      <c r="A62" s="46" t="s">
        <v>1321</v>
      </c>
      <c r="B62" s="252"/>
      <c r="C62" s="47" t="s">
        <v>456</v>
      </c>
      <c r="D62" s="48" t="s">
        <v>457</v>
      </c>
      <c r="E62" s="48"/>
      <c r="F62" s="48" t="s">
        <v>71</v>
      </c>
      <c r="G62" s="49"/>
    </row>
    <row r="63" spans="1:7">
      <c r="A63" s="42" t="s">
        <v>1322</v>
      </c>
      <c r="B63" s="249" t="s">
        <v>479</v>
      </c>
      <c r="C63" s="13" t="s">
        <v>458</v>
      </c>
      <c r="D63" s="14" t="s">
        <v>459</v>
      </c>
      <c r="E63" s="14"/>
      <c r="F63" s="14" t="s">
        <v>71</v>
      </c>
      <c r="G63" s="15"/>
    </row>
    <row r="64" spans="1:7">
      <c r="A64" s="43" t="s">
        <v>1323</v>
      </c>
      <c r="B64" s="250"/>
      <c r="C64" s="17" t="s">
        <v>460</v>
      </c>
      <c r="D64" s="18" t="s">
        <v>461</v>
      </c>
      <c r="E64" s="18"/>
      <c r="F64" s="18" t="s">
        <v>71</v>
      </c>
      <c r="G64" s="19"/>
    </row>
    <row r="65" spans="1:7">
      <c r="A65" s="43" t="s">
        <v>1324</v>
      </c>
      <c r="B65" s="250"/>
      <c r="C65" s="17" t="s">
        <v>462</v>
      </c>
      <c r="D65" s="18" t="s">
        <v>463</v>
      </c>
      <c r="E65" s="18"/>
      <c r="F65" s="18" t="s">
        <v>71</v>
      </c>
      <c r="G65" s="19"/>
    </row>
    <row r="66" spans="1:7">
      <c r="A66" s="43" t="s">
        <v>1325</v>
      </c>
      <c r="B66" s="250"/>
      <c r="C66" s="17" t="s">
        <v>464</v>
      </c>
      <c r="D66" s="18" t="s">
        <v>1059</v>
      </c>
      <c r="E66" s="18"/>
      <c r="F66" s="18" t="s">
        <v>71</v>
      </c>
      <c r="G66" s="19"/>
    </row>
    <row r="67" spans="1:7">
      <c r="A67" s="43" t="s">
        <v>1326</v>
      </c>
      <c r="B67" s="250"/>
      <c r="C67" s="17" t="s">
        <v>465</v>
      </c>
      <c r="D67" s="18" t="s">
        <v>1060</v>
      </c>
      <c r="E67" s="18"/>
      <c r="F67" s="18" t="s">
        <v>71</v>
      </c>
      <c r="G67" s="19"/>
    </row>
    <row r="68" spans="1:7">
      <c r="A68" s="43" t="s">
        <v>1327</v>
      </c>
      <c r="B68" s="250"/>
      <c r="C68" s="17" t="s">
        <v>466</v>
      </c>
      <c r="D68" s="18" t="s">
        <v>1061</v>
      </c>
      <c r="E68" s="18"/>
      <c r="F68" s="18" t="s">
        <v>71</v>
      </c>
      <c r="G68" s="19"/>
    </row>
    <row r="69" spans="1:7">
      <c r="A69" s="43" t="s">
        <v>1328</v>
      </c>
      <c r="B69" s="250"/>
      <c r="C69" s="17" t="s">
        <v>467</v>
      </c>
      <c r="D69" s="18" t="s">
        <v>1062</v>
      </c>
      <c r="E69" s="18"/>
      <c r="F69" s="18" t="s">
        <v>71</v>
      </c>
      <c r="G69" s="19"/>
    </row>
    <row r="70" spans="1:7">
      <c r="A70" s="43" t="s">
        <v>1329</v>
      </c>
      <c r="B70" s="250"/>
      <c r="C70" s="17" t="s">
        <v>468</v>
      </c>
      <c r="D70" s="18" t="s">
        <v>469</v>
      </c>
      <c r="E70" s="18"/>
      <c r="F70" s="18" t="s">
        <v>71</v>
      </c>
      <c r="G70" s="19"/>
    </row>
    <row r="71" spans="1:7">
      <c r="A71" s="44" t="s">
        <v>1330</v>
      </c>
      <c r="B71" s="250"/>
      <c r="C71" s="9" t="s">
        <v>470</v>
      </c>
      <c r="D71" s="10" t="s">
        <v>1066</v>
      </c>
      <c r="E71" s="10" t="s">
        <v>483</v>
      </c>
      <c r="F71" s="10" t="s">
        <v>70</v>
      </c>
      <c r="G71" s="11" t="s">
        <v>923</v>
      </c>
    </row>
    <row r="72" spans="1:7">
      <c r="A72" s="43" t="s">
        <v>1331</v>
      </c>
      <c r="B72" s="250"/>
      <c r="C72" s="17" t="s">
        <v>471</v>
      </c>
      <c r="D72" s="18" t="s">
        <v>394</v>
      </c>
      <c r="E72" s="18"/>
      <c r="F72" s="18" t="s">
        <v>71</v>
      </c>
      <c r="G72" s="19"/>
    </row>
    <row r="73" spans="1:7">
      <c r="A73" s="43" t="s">
        <v>1332</v>
      </c>
      <c r="B73" s="250"/>
      <c r="C73" s="17" t="s">
        <v>472</v>
      </c>
      <c r="D73" s="18" t="s">
        <v>394</v>
      </c>
      <c r="E73" s="18"/>
      <c r="F73" s="18" t="s">
        <v>71</v>
      </c>
      <c r="G73" s="19"/>
    </row>
    <row r="74" spans="1:7" ht="17" thickBot="1">
      <c r="A74" s="45" t="s">
        <v>1333</v>
      </c>
      <c r="B74" s="251"/>
      <c r="C74" s="21" t="s">
        <v>473</v>
      </c>
      <c r="D74" s="22" t="s">
        <v>474</v>
      </c>
      <c r="E74" s="22"/>
      <c r="F74" s="22" t="s">
        <v>71</v>
      </c>
      <c r="G74" s="23"/>
    </row>
  </sheetData>
  <mergeCells count="7">
    <mergeCell ref="B63:B74"/>
    <mergeCell ref="A1:G1"/>
    <mergeCell ref="B3:B14"/>
    <mergeCell ref="B15:B27"/>
    <mergeCell ref="B28:B40"/>
    <mergeCell ref="B41:B51"/>
    <mergeCell ref="B52:B62"/>
  </mergeCells>
  <phoneticPr fontId="3" type="noConversion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7A4E4-4BCA-1A44-AEF5-0E02A62215B8}">
  <dimension ref="A1:G52"/>
  <sheetViews>
    <sheetView zoomScaleNormal="100" workbookViewId="0">
      <selection activeCell="A2" sqref="A2:XFD2"/>
    </sheetView>
  </sheetViews>
  <sheetFormatPr baseColWidth="10" defaultRowHeight="16"/>
  <cols>
    <col min="1" max="1" width="10.83203125" style="1" customWidth="1"/>
    <col min="2" max="2" width="13.1640625" style="1" bestFit="1" customWidth="1"/>
    <col min="3" max="3" width="49.1640625" style="1" customWidth="1"/>
    <col min="4" max="4" width="86" style="1" customWidth="1"/>
    <col min="5" max="5" width="54" style="1" customWidth="1"/>
    <col min="6" max="6" width="30.83203125" style="1" customWidth="1"/>
    <col min="7" max="16384" width="10.83203125" style="1"/>
  </cols>
  <sheetData>
    <row r="1" spans="1:7" ht="20" thickBot="1">
      <c r="A1" s="237" t="s">
        <v>1090</v>
      </c>
      <c r="B1" s="238"/>
      <c r="C1" s="238"/>
      <c r="D1" s="238"/>
      <c r="E1" s="238"/>
      <c r="F1" s="238"/>
      <c r="G1" s="239"/>
    </row>
    <row r="2" spans="1:7" ht="17" thickBot="1">
      <c r="A2" s="4" t="s">
        <v>918</v>
      </c>
      <c r="B2" s="4" t="s">
        <v>68</v>
      </c>
      <c r="C2" s="4" t="s">
        <v>925</v>
      </c>
      <c r="D2" s="4" t="s">
        <v>926</v>
      </c>
      <c r="E2" s="4" t="s">
        <v>971</v>
      </c>
      <c r="F2" s="4" t="s">
        <v>0</v>
      </c>
      <c r="G2" s="5" t="s">
        <v>927</v>
      </c>
    </row>
    <row r="3" spans="1:7">
      <c r="A3" s="12" t="s">
        <v>491</v>
      </c>
      <c r="B3" s="254" t="s">
        <v>507</v>
      </c>
      <c r="C3" s="14" t="s">
        <v>511</v>
      </c>
      <c r="D3" s="14" t="s">
        <v>512</v>
      </c>
      <c r="E3" s="14"/>
      <c r="F3" s="14" t="s">
        <v>71</v>
      </c>
      <c r="G3" s="15"/>
    </row>
    <row r="4" spans="1:7">
      <c r="A4" s="16" t="s">
        <v>492</v>
      </c>
      <c r="B4" s="255"/>
      <c r="C4" s="18" t="s">
        <v>513</v>
      </c>
      <c r="D4" s="18" t="s">
        <v>514</v>
      </c>
      <c r="E4" s="18"/>
      <c r="F4" s="18" t="s">
        <v>71</v>
      </c>
      <c r="G4" s="19"/>
    </row>
    <row r="5" spans="1:7">
      <c r="A5" s="16" t="s">
        <v>493</v>
      </c>
      <c r="B5" s="255"/>
      <c r="C5" s="18" t="s">
        <v>515</v>
      </c>
      <c r="D5" s="18" t="s">
        <v>514</v>
      </c>
      <c r="E5" s="18"/>
      <c r="F5" s="18" t="s">
        <v>71</v>
      </c>
      <c r="G5" s="19"/>
    </row>
    <row r="6" spans="1:7" ht="18">
      <c r="A6" s="16" t="s">
        <v>494</v>
      </c>
      <c r="B6" s="255"/>
      <c r="C6" s="60" t="s">
        <v>516</v>
      </c>
      <c r="D6" s="60" t="s">
        <v>517</v>
      </c>
      <c r="E6" s="60"/>
      <c r="F6" s="60" t="s">
        <v>71</v>
      </c>
      <c r="G6" s="64"/>
    </row>
    <row r="7" spans="1:7" ht="36" customHeight="1">
      <c r="A7" s="8" t="s">
        <v>495</v>
      </c>
      <c r="B7" s="255"/>
      <c r="C7" s="10" t="s">
        <v>518</v>
      </c>
      <c r="D7" s="61" t="s">
        <v>886</v>
      </c>
      <c r="E7" s="10" t="s">
        <v>1104</v>
      </c>
      <c r="F7" s="10" t="s">
        <v>70</v>
      </c>
      <c r="G7" s="11"/>
    </row>
    <row r="8" spans="1:7" ht="34">
      <c r="A8" s="8" t="s">
        <v>496</v>
      </c>
      <c r="B8" s="255"/>
      <c r="C8" s="10" t="s">
        <v>519</v>
      </c>
      <c r="D8" s="61" t="s">
        <v>887</v>
      </c>
      <c r="E8" s="10" t="s">
        <v>1104</v>
      </c>
      <c r="F8" s="10" t="s">
        <v>70</v>
      </c>
      <c r="G8" s="11"/>
    </row>
    <row r="9" spans="1:7">
      <c r="A9" s="16" t="s">
        <v>497</v>
      </c>
      <c r="B9" s="255"/>
      <c r="C9" s="18" t="s">
        <v>520</v>
      </c>
      <c r="D9" s="18" t="s">
        <v>521</v>
      </c>
      <c r="E9" s="18"/>
      <c r="F9" s="18" t="s">
        <v>71</v>
      </c>
      <c r="G9" s="19"/>
    </row>
    <row r="10" spans="1:7" ht="18">
      <c r="A10" s="16" t="s">
        <v>498</v>
      </c>
      <c r="B10" s="255"/>
      <c r="C10" s="60" t="s">
        <v>522</v>
      </c>
      <c r="D10" s="60" t="s">
        <v>523</v>
      </c>
      <c r="E10" s="60"/>
      <c r="F10" s="60" t="s">
        <v>71</v>
      </c>
      <c r="G10" s="64"/>
    </row>
    <row r="11" spans="1:7">
      <c r="A11" s="16" t="s">
        <v>499</v>
      </c>
      <c r="B11" s="255"/>
      <c r="C11" s="18" t="s">
        <v>524</v>
      </c>
      <c r="D11" s="18" t="s">
        <v>525</v>
      </c>
      <c r="E11" s="18"/>
      <c r="F11" s="18" t="s">
        <v>71</v>
      </c>
      <c r="G11" s="19"/>
    </row>
    <row r="12" spans="1:7">
      <c r="A12" s="16" t="s">
        <v>500</v>
      </c>
      <c r="B12" s="255"/>
      <c r="C12" s="18" t="s">
        <v>526</v>
      </c>
      <c r="D12" s="18" t="s">
        <v>527</v>
      </c>
      <c r="E12" s="18"/>
      <c r="F12" s="18" t="s">
        <v>71</v>
      </c>
      <c r="G12" s="19"/>
    </row>
    <row r="13" spans="1:7">
      <c r="A13" s="16" t="s">
        <v>501</v>
      </c>
      <c r="B13" s="255"/>
      <c r="C13" s="18" t="s">
        <v>528</v>
      </c>
      <c r="D13" s="18" t="s">
        <v>529</v>
      </c>
      <c r="E13" s="18"/>
      <c r="F13" s="18" t="s">
        <v>71</v>
      </c>
      <c r="G13" s="19"/>
    </row>
    <row r="14" spans="1:7" ht="18">
      <c r="A14" s="8" t="s">
        <v>502</v>
      </c>
      <c r="B14" s="255"/>
      <c r="C14" s="61" t="s">
        <v>530</v>
      </c>
      <c r="D14" s="61" t="s">
        <v>531</v>
      </c>
      <c r="E14" s="61" t="s">
        <v>1104</v>
      </c>
      <c r="F14" s="61" t="s">
        <v>70</v>
      </c>
      <c r="G14" s="68"/>
    </row>
    <row r="15" spans="1:7">
      <c r="A15" s="16" t="s">
        <v>503</v>
      </c>
      <c r="B15" s="255"/>
      <c r="C15" s="18" t="s">
        <v>532</v>
      </c>
      <c r="D15" s="18" t="s">
        <v>533</v>
      </c>
      <c r="E15" s="18"/>
      <c r="F15" s="18" t="s">
        <v>71</v>
      </c>
      <c r="G15" s="19"/>
    </row>
    <row r="16" spans="1:7">
      <c r="A16" s="16" t="s">
        <v>504</v>
      </c>
      <c r="B16" s="255"/>
      <c r="C16" s="18" t="s">
        <v>534</v>
      </c>
      <c r="D16" s="18" t="s">
        <v>535</v>
      </c>
      <c r="E16" s="18"/>
      <c r="F16" s="18" t="s">
        <v>71</v>
      </c>
      <c r="G16" s="19"/>
    </row>
    <row r="17" spans="1:7">
      <c r="A17" s="16" t="s">
        <v>505</v>
      </c>
      <c r="B17" s="255"/>
      <c r="C17" s="18" t="s">
        <v>536</v>
      </c>
      <c r="D17" s="18" t="s">
        <v>537</v>
      </c>
      <c r="E17" s="18"/>
      <c r="F17" s="18" t="s">
        <v>71</v>
      </c>
      <c r="G17" s="19"/>
    </row>
    <row r="18" spans="1:7" ht="17">
      <c r="A18" s="8" t="s">
        <v>506</v>
      </c>
      <c r="B18" s="255"/>
      <c r="C18" s="61" t="s">
        <v>484</v>
      </c>
      <c r="D18" s="61" t="s">
        <v>1108</v>
      </c>
      <c r="E18" s="61"/>
      <c r="F18" s="61" t="s">
        <v>70</v>
      </c>
      <c r="G18" s="68"/>
    </row>
    <row r="19" spans="1:7">
      <c r="A19" s="8" t="s">
        <v>510</v>
      </c>
      <c r="B19" s="255"/>
      <c r="C19" s="10" t="s">
        <v>538</v>
      </c>
      <c r="D19" s="10" t="s">
        <v>1109</v>
      </c>
      <c r="E19" s="10"/>
      <c r="F19" s="10" t="s">
        <v>70</v>
      </c>
      <c r="G19" s="11"/>
    </row>
    <row r="20" spans="1:7">
      <c r="A20" s="16" t="s">
        <v>539</v>
      </c>
      <c r="B20" s="255"/>
      <c r="C20" s="18" t="s">
        <v>540</v>
      </c>
      <c r="D20" s="18" t="s">
        <v>541</v>
      </c>
      <c r="E20" s="18"/>
      <c r="F20" s="18" t="s">
        <v>71</v>
      </c>
      <c r="G20" s="19"/>
    </row>
    <row r="21" spans="1:7">
      <c r="A21" s="16" t="s">
        <v>542</v>
      </c>
      <c r="B21" s="255"/>
      <c r="C21" s="18" t="s">
        <v>543</v>
      </c>
      <c r="D21" s="18" t="s">
        <v>544</v>
      </c>
      <c r="E21" s="18"/>
      <c r="F21" s="18" t="s">
        <v>71</v>
      </c>
      <c r="G21" s="19"/>
    </row>
    <row r="22" spans="1:7" ht="18" thickBot="1">
      <c r="A22" s="65" t="s">
        <v>545</v>
      </c>
      <c r="B22" s="256"/>
      <c r="C22" s="69" t="s">
        <v>546</v>
      </c>
      <c r="D22" s="69" t="s">
        <v>1110</v>
      </c>
      <c r="E22" s="69" t="s">
        <v>1105</v>
      </c>
      <c r="F22" s="69" t="s">
        <v>70</v>
      </c>
      <c r="G22" s="70"/>
    </row>
    <row r="23" spans="1:7">
      <c r="A23" s="59" t="s">
        <v>1245</v>
      </c>
      <c r="B23" s="257" t="s">
        <v>508</v>
      </c>
      <c r="C23" s="52" t="s">
        <v>547</v>
      </c>
      <c r="D23" s="52" t="s">
        <v>548</v>
      </c>
      <c r="E23" s="52"/>
      <c r="F23" s="52" t="s">
        <v>71</v>
      </c>
      <c r="G23" s="53"/>
    </row>
    <row r="24" spans="1:7">
      <c r="A24" s="16" t="s">
        <v>1246</v>
      </c>
      <c r="B24" s="255"/>
      <c r="C24" s="18" t="s">
        <v>549</v>
      </c>
      <c r="D24" s="18" t="s">
        <v>485</v>
      </c>
      <c r="E24" s="18"/>
      <c r="F24" s="18" t="s">
        <v>71</v>
      </c>
      <c r="G24" s="19"/>
    </row>
    <row r="25" spans="1:7">
      <c r="A25" s="16" t="s">
        <v>1247</v>
      </c>
      <c r="B25" s="255"/>
      <c r="C25" s="18" t="s">
        <v>550</v>
      </c>
      <c r="D25" s="18" t="s">
        <v>485</v>
      </c>
      <c r="E25" s="18"/>
      <c r="F25" s="18" t="s">
        <v>71</v>
      </c>
      <c r="G25" s="19"/>
    </row>
    <row r="26" spans="1:7" ht="18">
      <c r="A26" s="16" t="s">
        <v>1248</v>
      </c>
      <c r="B26" s="255"/>
      <c r="C26" s="60" t="s">
        <v>551</v>
      </c>
      <c r="D26" s="60" t="s">
        <v>486</v>
      </c>
      <c r="E26" s="60"/>
      <c r="F26" s="60" t="s">
        <v>71</v>
      </c>
      <c r="G26" s="64"/>
    </row>
    <row r="27" spans="1:7">
      <c r="A27" s="16" t="s">
        <v>1249</v>
      </c>
      <c r="B27" s="255"/>
      <c r="C27" s="18" t="s">
        <v>552</v>
      </c>
      <c r="D27" s="18" t="s">
        <v>553</v>
      </c>
      <c r="E27" s="18"/>
      <c r="F27" s="18" t="s">
        <v>71</v>
      </c>
      <c r="G27" s="19"/>
    </row>
    <row r="28" spans="1:7">
      <c r="A28" s="16" t="s">
        <v>1250</v>
      </c>
      <c r="B28" s="255"/>
      <c r="C28" s="18" t="s">
        <v>554</v>
      </c>
      <c r="D28" s="18" t="s">
        <v>485</v>
      </c>
      <c r="E28" s="18"/>
      <c r="F28" s="18" t="s">
        <v>71</v>
      </c>
      <c r="G28" s="19"/>
    </row>
    <row r="29" spans="1:7">
      <c r="A29" s="16" t="s">
        <v>1251</v>
      </c>
      <c r="B29" s="255"/>
      <c r="C29" s="18" t="s">
        <v>555</v>
      </c>
      <c r="D29" s="18" t="s">
        <v>556</v>
      </c>
      <c r="E29" s="18"/>
      <c r="F29" s="18" t="s">
        <v>71</v>
      </c>
      <c r="G29" s="19"/>
    </row>
    <row r="30" spans="1:7" ht="18">
      <c r="A30" s="16" t="s">
        <v>1252</v>
      </c>
      <c r="B30" s="255"/>
      <c r="C30" s="60" t="s">
        <v>557</v>
      </c>
      <c r="D30" s="60" t="s">
        <v>558</v>
      </c>
      <c r="E30" s="60"/>
      <c r="F30" s="60" t="s">
        <v>71</v>
      </c>
      <c r="G30" s="64"/>
    </row>
    <row r="31" spans="1:7">
      <c r="A31" s="16" t="s">
        <v>1253</v>
      </c>
      <c r="B31" s="255"/>
      <c r="C31" s="18" t="s">
        <v>559</v>
      </c>
      <c r="D31" s="18" t="s">
        <v>560</v>
      </c>
      <c r="E31" s="18"/>
      <c r="F31" s="18" t="s">
        <v>71</v>
      </c>
      <c r="G31" s="19"/>
    </row>
    <row r="32" spans="1:7">
      <c r="A32" s="16" t="s">
        <v>1254</v>
      </c>
      <c r="B32" s="255"/>
      <c r="C32" s="18" t="s">
        <v>561</v>
      </c>
      <c r="D32" s="18" t="s">
        <v>885</v>
      </c>
      <c r="E32" s="18"/>
      <c r="F32" s="18" t="s">
        <v>71</v>
      </c>
      <c r="G32" s="19"/>
    </row>
    <row r="33" spans="1:7">
      <c r="A33" s="16" t="s">
        <v>1255</v>
      </c>
      <c r="B33" s="255"/>
      <c r="C33" s="18" t="s">
        <v>562</v>
      </c>
      <c r="D33" s="18" t="s">
        <v>563</v>
      </c>
      <c r="E33" s="18"/>
      <c r="F33" s="18" t="s">
        <v>71</v>
      </c>
      <c r="G33" s="19"/>
    </row>
    <row r="34" spans="1:7" ht="18">
      <c r="A34" s="16" t="s">
        <v>1256</v>
      </c>
      <c r="B34" s="255"/>
      <c r="C34" s="60" t="s">
        <v>484</v>
      </c>
      <c r="D34" s="60" t="s">
        <v>564</v>
      </c>
      <c r="E34" s="60"/>
      <c r="F34" s="60" t="s">
        <v>71</v>
      </c>
      <c r="G34" s="64"/>
    </row>
    <row r="35" spans="1:7">
      <c r="A35" s="16" t="s">
        <v>1257</v>
      </c>
      <c r="B35" s="255"/>
      <c r="C35" s="18" t="s">
        <v>565</v>
      </c>
      <c r="D35" s="18" t="s">
        <v>487</v>
      </c>
      <c r="E35" s="18"/>
      <c r="F35" s="18" t="s">
        <v>71</v>
      </c>
      <c r="G35" s="19"/>
    </row>
    <row r="36" spans="1:7">
      <c r="A36" s="16" t="s">
        <v>1258</v>
      </c>
      <c r="B36" s="255"/>
      <c r="C36" s="18" t="s">
        <v>566</v>
      </c>
      <c r="D36" s="18" t="s">
        <v>487</v>
      </c>
      <c r="E36" s="18"/>
      <c r="F36" s="18" t="s">
        <v>71</v>
      </c>
      <c r="G36" s="19"/>
    </row>
    <row r="37" spans="1:7" ht="17" thickBot="1">
      <c r="A37" s="58" t="s">
        <v>1259</v>
      </c>
      <c r="B37" s="258"/>
      <c r="C37" s="48" t="s">
        <v>567</v>
      </c>
      <c r="D37" s="48" t="s">
        <v>568</v>
      </c>
      <c r="E37" s="48"/>
      <c r="F37" s="48" t="s">
        <v>71</v>
      </c>
      <c r="G37" s="49"/>
    </row>
    <row r="38" spans="1:7" ht="18">
      <c r="A38" s="12" t="s">
        <v>1260</v>
      </c>
      <c r="B38" s="254" t="s">
        <v>509</v>
      </c>
      <c r="C38" s="62" t="s">
        <v>569</v>
      </c>
      <c r="D38" s="62" t="s">
        <v>570</v>
      </c>
      <c r="E38" s="62"/>
      <c r="F38" s="62" t="s">
        <v>71</v>
      </c>
      <c r="G38" s="63"/>
    </row>
    <row r="39" spans="1:7">
      <c r="A39" s="16" t="s">
        <v>1261</v>
      </c>
      <c r="B39" s="255"/>
      <c r="C39" s="18" t="s">
        <v>571</v>
      </c>
      <c r="D39" s="18" t="s">
        <v>572</v>
      </c>
      <c r="E39" s="18"/>
      <c r="F39" s="18" t="s">
        <v>71</v>
      </c>
      <c r="G39" s="19"/>
    </row>
    <row r="40" spans="1:7">
      <c r="A40" s="16" t="s">
        <v>1262</v>
      </c>
      <c r="B40" s="255"/>
      <c r="C40" s="18" t="s">
        <v>573</v>
      </c>
      <c r="D40" s="18" t="s">
        <v>574</v>
      </c>
      <c r="E40" s="18"/>
      <c r="F40" s="18" t="s">
        <v>71</v>
      </c>
      <c r="G40" s="19"/>
    </row>
    <row r="41" spans="1:7" ht="17" thickBot="1">
      <c r="A41" s="65" t="s">
        <v>1263</v>
      </c>
      <c r="B41" s="255"/>
      <c r="C41" s="10" t="s">
        <v>575</v>
      </c>
      <c r="D41" s="10" t="s">
        <v>576</v>
      </c>
      <c r="E41" s="10" t="s">
        <v>1106</v>
      </c>
      <c r="F41" s="10" t="s">
        <v>70</v>
      </c>
      <c r="G41" s="11"/>
    </row>
    <row r="42" spans="1:7" ht="18">
      <c r="A42" s="16" t="s">
        <v>1264</v>
      </c>
      <c r="B42" s="255"/>
      <c r="C42" s="60" t="s">
        <v>577</v>
      </c>
      <c r="D42" s="60" t="s">
        <v>578</v>
      </c>
      <c r="E42" s="60"/>
      <c r="F42" s="60" t="s">
        <v>71</v>
      </c>
      <c r="G42" s="64"/>
    </row>
    <row r="43" spans="1:7">
      <c r="A43" s="16" t="s">
        <v>1265</v>
      </c>
      <c r="B43" s="255"/>
      <c r="C43" s="18" t="s">
        <v>579</v>
      </c>
      <c r="D43" s="18" t="s">
        <v>580</v>
      </c>
      <c r="E43" s="18"/>
      <c r="F43" s="18" t="s">
        <v>71</v>
      </c>
      <c r="G43" s="19"/>
    </row>
    <row r="44" spans="1:7">
      <c r="A44" s="16" t="s">
        <v>1266</v>
      </c>
      <c r="B44" s="255"/>
      <c r="C44" s="18" t="s">
        <v>581</v>
      </c>
      <c r="D44" s="18" t="s">
        <v>488</v>
      </c>
      <c r="E44" s="18"/>
      <c r="F44" s="18" t="s">
        <v>71</v>
      </c>
      <c r="G44" s="19"/>
    </row>
    <row r="45" spans="1:7">
      <c r="A45" s="16" t="s">
        <v>1267</v>
      </c>
      <c r="B45" s="255"/>
      <c r="C45" s="18" t="s">
        <v>582</v>
      </c>
      <c r="D45" s="18" t="s">
        <v>583</v>
      </c>
      <c r="E45" s="18"/>
      <c r="F45" s="18" t="s">
        <v>71</v>
      </c>
      <c r="G45" s="19"/>
    </row>
    <row r="46" spans="1:7" ht="18">
      <c r="A46" s="16" t="s">
        <v>1268</v>
      </c>
      <c r="B46" s="255"/>
      <c r="C46" s="60" t="s">
        <v>584</v>
      </c>
      <c r="D46" s="60" t="s">
        <v>489</v>
      </c>
      <c r="E46" s="60"/>
      <c r="F46" s="60" t="s">
        <v>71</v>
      </c>
      <c r="G46" s="64"/>
    </row>
    <row r="47" spans="1:7">
      <c r="A47" s="16" t="s">
        <v>1269</v>
      </c>
      <c r="B47" s="255"/>
      <c r="C47" s="18" t="s">
        <v>585</v>
      </c>
      <c r="D47" s="18" t="s">
        <v>586</v>
      </c>
      <c r="E47" s="18"/>
      <c r="F47" s="18" t="s">
        <v>71</v>
      </c>
      <c r="G47" s="19"/>
    </row>
    <row r="48" spans="1:7">
      <c r="A48" s="16" t="s">
        <v>1270</v>
      </c>
      <c r="B48" s="255"/>
      <c r="C48" s="18" t="s">
        <v>587</v>
      </c>
      <c r="D48" s="18" t="s">
        <v>490</v>
      </c>
      <c r="E48" s="18"/>
      <c r="F48" s="18" t="s">
        <v>71</v>
      </c>
      <c r="G48" s="19"/>
    </row>
    <row r="49" spans="1:7">
      <c r="A49" s="16" t="s">
        <v>1271</v>
      </c>
      <c r="B49" s="255"/>
      <c r="C49" s="18" t="s">
        <v>588</v>
      </c>
      <c r="D49" s="18" t="s">
        <v>884</v>
      </c>
      <c r="E49" s="18"/>
      <c r="F49" s="18" t="s">
        <v>71</v>
      </c>
      <c r="G49" s="19"/>
    </row>
    <row r="50" spans="1:7" ht="17">
      <c r="A50" s="16" t="s">
        <v>1272</v>
      </c>
      <c r="B50" s="255"/>
      <c r="C50" s="60" t="s">
        <v>589</v>
      </c>
      <c r="D50" s="60" t="s">
        <v>590</v>
      </c>
      <c r="E50" s="60"/>
      <c r="F50" s="60" t="s">
        <v>71</v>
      </c>
      <c r="G50" s="64"/>
    </row>
    <row r="51" spans="1:7">
      <c r="A51" s="16" t="s">
        <v>1273</v>
      </c>
      <c r="B51" s="255"/>
      <c r="C51" s="18" t="s">
        <v>591</v>
      </c>
      <c r="D51" s="18" t="s">
        <v>592</v>
      </c>
      <c r="E51" s="18"/>
      <c r="F51" s="18" t="s">
        <v>71</v>
      </c>
      <c r="G51" s="19"/>
    </row>
    <row r="52" spans="1:7" ht="17" thickBot="1">
      <c r="A52" s="65" t="s">
        <v>1274</v>
      </c>
      <c r="B52" s="256"/>
      <c r="C52" s="66" t="s">
        <v>593</v>
      </c>
      <c r="D52" s="66" t="s">
        <v>1107</v>
      </c>
      <c r="E52" s="66" t="s">
        <v>1105</v>
      </c>
      <c r="F52" s="66" t="s">
        <v>70</v>
      </c>
      <c r="G52" s="67"/>
    </row>
  </sheetData>
  <mergeCells count="4">
    <mergeCell ref="A1:G1"/>
    <mergeCell ref="B3:B22"/>
    <mergeCell ref="B23:B37"/>
    <mergeCell ref="B38:B52"/>
  </mergeCells>
  <phoneticPr fontId="3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E5A00-C52F-9B47-8965-2CB2FB518145}">
  <dimension ref="A1:G44"/>
  <sheetViews>
    <sheetView workbookViewId="0">
      <selection activeCell="A2" sqref="A2:XFD2"/>
    </sheetView>
  </sheetViews>
  <sheetFormatPr baseColWidth="10" defaultRowHeight="16"/>
  <cols>
    <col min="1" max="1" width="10.83203125" style="1"/>
    <col min="2" max="2" width="13.1640625" style="1" bestFit="1" customWidth="1"/>
    <col min="3" max="3" width="42.33203125" style="1" customWidth="1"/>
    <col min="4" max="4" width="55.5" style="1" customWidth="1"/>
    <col min="5" max="5" width="50" style="1" customWidth="1"/>
    <col min="6" max="16384" width="10.83203125" style="1"/>
  </cols>
  <sheetData>
    <row r="1" spans="1:7" ht="20" thickBot="1">
      <c r="A1" s="237" t="s">
        <v>1089</v>
      </c>
      <c r="B1" s="238"/>
      <c r="C1" s="238"/>
      <c r="D1" s="238"/>
      <c r="E1" s="238"/>
      <c r="F1" s="238"/>
      <c r="G1" s="239"/>
    </row>
    <row r="2" spans="1:7" ht="17" thickBot="1">
      <c r="A2" s="4" t="s">
        <v>918</v>
      </c>
      <c r="B2" s="4" t="s">
        <v>68</v>
      </c>
      <c r="C2" s="4" t="s">
        <v>925</v>
      </c>
      <c r="D2" s="4" t="s">
        <v>926</v>
      </c>
      <c r="E2" s="4" t="s">
        <v>971</v>
      </c>
      <c r="F2" s="4" t="s">
        <v>0</v>
      </c>
      <c r="G2" s="5" t="s">
        <v>927</v>
      </c>
    </row>
    <row r="3" spans="1:7">
      <c r="A3" s="12" t="s">
        <v>594</v>
      </c>
      <c r="B3" s="246" t="s">
        <v>1094</v>
      </c>
      <c r="C3" s="14" t="s">
        <v>816</v>
      </c>
      <c r="D3" s="14" t="s">
        <v>817</v>
      </c>
      <c r="E3" s="14"/>
      <c r="F3" s="14" t="s">
        <v>71</v>
      </c>
      <c r="G3" s="15"/>
    </row>
    <row r="4" spans="1:7">
      <c r="A4" s="16" t="s">
        <v>596</v>
      </c>
      <c r="B4" s="247"/>
      <c r="C4" s="18" t="s">
        <v>818</v>
      </c>
      <c r="D4" s="18" t="s">
        <v>819</v>
      </c>
      <c r="E4" s="18"/>
      <c r="F4" s="18" t="s">
        <v>71</v>
      </c>
      <c r="G4" s="19"/>
    </row>
    <row r="5" spans="1:7">
      <c r="A5" s="16" t="s">
        <v>597</v>
      </c>
      <c r="B5" s="247"/>
      <c r="C5" s="18" t="s">
        <v>820</v>
      </c>
      <c r="D5" s="18" t="s">
        <v>821</v>
      </c>
      <c r="E5" s="18"/>
      <c r="F5" s="18" t="s">
        <v>71</v>
      </c>
      <c r="G5" s="19"/>
    </row>
    <row r="6" spans="1:7">
      <c r="A6" s="16" t="s">
        <v>598</v>
      </c>
      <c r="B6" s="247"/>
      <c r="C6" s="18" t="s">
        <v>822</v>
      </c>
      <c r="D6" s="18" t="s">
        <v>819</v>
      </c>
      <c r="E6" s="18"/>
      <c r="F6" s="18" t="s">
        <v>71</v>
      </c>
      <c r="G6" s="19"/>
    </row>
    <row r="7" spans="1:7">
      <c r="A7" s="16" t="s">
        <v>599</v>
      </c>
      <c r="B7" s="247"/>
      <c r="C7" s="18" t="s">
        <v>823</v>
      </c>
      <c r="D7" s="18" t="s">
        <v>883</v>
      </c>
      <c r="E7" s="18"/>
      <c r="F7" s="18" t="s">
        <v>71</v>
      </c>
      <c r="G7" s="19"/>
    </row>
    <row r="8" spans="1:7">
      <c r="A8" s="16" t="s">
        <v>600</v>
      </c>
      <c r="B8" s="247"/>
      <c r="C8" s="18" t="s">
        <v>824</v>
      </c>
      <c r="D8" s="18" t="s">
        <v>605</v>
      </c>
      <c r="E8" s="18"/>
      <c r="F8" s="18" t="s">
        <v>71</v>
      </c>
      <c r="G8" s="19"/>
    </row>
    <row r="9" spans="1:7">
      <c r="A9" s="16" t="s">
        <v>601</v>
      </c>
      <c r="B9" s="247"/>
      <c r="C9" s="18" t="s">
        <v>825</v>
      </c>
      <c r="D9" s="18" t="s">
        <v>607</v>
      </c>
      <c r="E9" s="18"/>
      <c r="F9" s="18" t="s">
        <v>71</v>
      </c>
      <c r="G9" s="19"/>
    </row>
    <row r="10" spans="1:7">
      <c r="A10" s="16" t="s">
        <v>602</v>
      </c>
      <c r="B10" s="247"/>
      <c r="C10" s="18" t="s">
        <v>826</v>
      </c>
      <c r="D10" s="18" t="s">
        <v>827</v>
      </c>
      <c r="E10" s="18"/>
      <c r="F10" s="18" t="s">
        <v>71</v>
      </c>
      <c r="G10" s="19"/>
    </row>
    <row r="11" spans="1:7">
      <c r="A11" s="16" t="s">
        <v>603</v>
      </c>
      <c r="B11" s="247"/>
      <c r="C11" s="18" t="s">
        <v>828</v>
      </c>
      <c r="D11" s="18" t="s">
        <v>829</v>
      </c>
      <c r="E11" s="18"/>
      <c r="F11" s="18" t="s">
        <v>71</v>
      </c>
      <c r="G11" s="19"/>
    </row>
    <row r="12" spans="1:7" ht="17" thickBot="1">
      <c r="A12" s="20" t="s">
        <v>604</v>
      </c>
      <c r="B12" s="248"/>
      <c r="C12" s="22" t="s">
        <v>830</v>
      </c>
      <c r="D12" s="22" t="s">
        <v>831</v>
      </c>
      <c r="E12" s="22"/>
      <c r="F12" s="22" t="s">
        <v>71</v>
      </c>
      <c r="G12" s="23"/>
    </row>
    <row r="13" spans="1:7">
      <c r="A13" s="59" t="s">
        <v>606</v>
      </c>
      <c r="B13" s="247" t="s">
        <v>1095</v>
      </c>
      <c r="C13" s="52" t="s">
        <v>832</v>
      </c>
      <c r="D13" s="52" t="s">
        <v>833</v>
      </c>
      <c r="E13" s="52"/>
      <c r="F13" s="52" t="s">
        <v>71</v>
      </c>
      <c r="G13" s="53"/>
    </row>
    <row r="14" spans="1:7">
      <c r="A14" s="16" t="s">
        <v>608</v>
      </c>
      <c r="B14" s="247"/>
      <c r="C14" s="18" t="s">
        <v>834</v>
      </c>
      <c r="D14" s="18" t="s">
        <v>835</v>
      </c>
      <c r="E14" s="18"/>
      <c r="F14" s="18" t="s">
        <v>71</v>
      </c>
      <c r="G14" s="19"/>
    </row>
    <row r="15" spans="1:7">
      <c r="A15" s="16" t="s">
        <v>609</v>
      </c>
      <c r="B15" s="247"/>
      <c r="C15" s="18" t="s">
        <v>836</v>
      </c>
      <c r="D15" s="18" t="s">
        <v>837</v>
      </c>
      <c r="E15" s="18"/>
      <c r="F15" s="18" t="s">
        <v>71</v>
      </c>
      <c r="G15" s="19"/>
    </row>
    <row r="16" spans="1:7">
      <c r="A16" s="16" t="s">
        <v>610</v>
      </c>
      <c r="B16" s="247"/>
      <c r="C16" s="18" t="s">
        <v>838</v>
      </c>
      <c r="D16" s="18" t="s">
        <v>839</v>
      </c>
      <c r="E16" s="18"/>
      <c r="F16" s="18" t="s">
        <v>71</v>
      </c>
      <c r="G16" s="19"/>
    </row>
    <row r="17" spans="1:7" ht="17" thickBot="1">
      <c r="A17" s="58" t="s">
        <v>611</v>
      </c>
      <c r="B17" s="247"/>
      <c r="C17" s="48" t="s">
        <v>840</v>
      </c>
      <c r="D17" s="48" t="s">
        <v>841</v>
      </c>
      <c r="E17" s="48"/>
      <c r="F17" s="48" t="s">
        <v>71</v>
      </c>
      <c r="G17" s="49"/>
    </row>
    <row r="18" spans="1:7">
      <c r="A18" s="12" t="s">
        <v>612</v>
      </c>
      <c r="B18" s="246" t="s">
        <v>1096</v>
      </c>
      <c r="C18" s="14" t="s">
        <v>842</v>
      </c>
      <c r="D18" s="14" t="s">
        <v>843</v>
      </c>
      <c r="E18" s="14"/>
      <c r="F18" s="14" t="s">
        <v>71</v>
      </c>
      <c r="G18" s="15"/>
    </row>
    <row r="19" spans="1:7">
      <c r="A19" s="16" t="s">
        <v>613</v>
      </c>
      <c r="B19" s="247"/>
      <c r="C19" s="18" t="s">
        <v>844</v>
      </c>
      <c r="D19" s="18" t="s">
        <v>845</v>
      </c>
      <c r="E19" s="18"/>
      <c r="F19" s="18" t="s">
        <v>71</v>
      </c>
      <c r="G19" s="19"/>
    </row>
    <row r="20" spans="1:7">
      <c r="A20" s="16" t="s">
        <v>614</v>
      </c>
      <c r="B20" s="247"/>
      <c r="C20" s="18" t="s">
        <v>846</v>
      </c>
      <c r="D20" s="18" t="s">
        <v>847</v>
      </c>
      <c r="E20" s="18"/>
      <c r="F20" s="18" t="s">
        <v>71</v>
      </c>
      <c r="G20" s="19"/>
    </row>
    <row r="21" spans="1:7">
      <c r="A21" s="16" t="s">
        <v>615</v>
      </c>
      <c r="B21" s="247"/>
      <c r="C21" s="18" t="s">
        <v>848</v>
      </c>
      <c r="D21" s="18" t="s">
        <v>849</v>
      </c>
      <c r="E21" s="18"/>
      <c r="F21" s="18" t="s">
        <v>71</v>
      </c>
      <c r="G21" s="19"/>
    </row>
    <row r="22" spans="1:7" ht="17" thickBot="1">
      <c r="A22" s="20" t="s">
        <v>616</v>
      </c>
      <c r="B22" s="248"/>
      <c r="C22" s="22" t="s">
        <v>850</v>
      </c>
      <c r="D22" s="22" t="s">
        <v>851</v>
      </c>
      <c r="E22" s="22"/>
      <c r="F22" s="22" t="s">
        <v>71</v>
      </c>
      <c r="G22" s="23"/>
    </row>
    <row r="23" spans="1:7">
      <c r="A23" s="59" t="s">
        <v>617</v>
      </c>
      <c r="B23" s="247" t="s">
        <v>1097</v>
      </c>
      <c r="C23" s="52" t="s">
        <v>852</v>
      </c>
      <c r="D23" s="52" t="s">
        <v>853</v>
      </c>
      <c r="E23" s="52"/>
      <c r="F23" s="52" t="s">
        <v>71</v>
      </c>
      <c r="G23" s="53"/>
    </row>
    <row r="24" spans="1:7">
      <c r="A24" s="16" t="s">
        <v>618</v>
      </c>
      <c r="B24" s="247"/>
      <c r="C24" s="18" t="s">
        <v>854</v>
      </c>
      <c r="D24" s="18" t="s">
        <v>855</v>
      </c>
      <c r="E24" s="18"/>
      <c r="F24" s="18" t="s">
        <v>71</v>
      </c>
      <c r="G24" s="19"/>
    </row>
    <row r="25" spans="1:7">
      <c r="A25" s="16" t="s">
        <v>619</v>
      </c>
      <c r="B25" s="247"/>
      <c r="C25" s="18" t="s">
        <v>856</v>
      </c>
      <c r="D25" s="18" t="s">
        <v>857</v>
      </c>
      <c r="E25" s="18"/>
      <c r="F25" s="18" t="s">
        <v>71</v>
      </c>
      <c r="G25" s="19"/>
    </row>
    <row r="26" spans="1:7">
      <c r="A26" s="16" t="s">
        <v>621</v>
      </c>
      <c r="B26" s="247"/>
      <c r="C26" s="18" t="s">
        <v>858</v>
      </c>
      <c r="D26" s="18" t="s">
        <v>859</v>
      </c>
      <c r="E26" s="18"/>
      <c r="F26" s="18" t="s">
        <v>71</v>
      </c>
      <c r="G26" s="19"/>
    </row>
    <row r="27" spans="1:7" ht="17" thickBot="1">
      <c r="A27" s="58" t="s">
        <v>623</v>
      </c>
      <c r="B27" s="247"/>
      <c r="C27" s="48" t="s">
        <v>860</v>
      </c>
      <c r="D27" s="48" t="s">
        <v>861</v>
      </c>
      <c r="E27" s="48"/>
      <c r="F27" s="48" t="s">
        <v>71</v>
      </c>
      <c r="G27" s="49"/>
    </row>
    <row r="28" spans="1:7">
      <c r="A28" s="12" t="s">
        <v>624</v>
      </c>
      <c r="B28" s="246" t="s">
        <v>1098</v>
      </c>
      <c r="C28" s="14" t="s">
        <v>862</v>
      </c>
      <c r="D28" s="14" t="s">
        <v>1101</v>
      </c>
      <c r="E28" s="14"/>
      <c r="F28" s="14" t="s">
        <v>71</v>
      </c>
      <c r="G28" s="15"/>
    </row>
    <row r="29" spans="1:7">
      <c r="A29" s="16" t="s">
        <v>625</v>
      </c>
      <c r="B29" s="247"/>
      <c r="C29" s="18" t="s">
        <v>863</v>
      </c>
      <c r="D29" s="18" t="s">
        <v>1102</v>
      </c>
      <c r="E29" s="18"/>
      <c r="F29" s="18" t="s">
        <v>71</v>
      </c>
      <c r="G29" s="19"/>
    </row>
    <row r="30" spans="1:7">
      <c r="A30" s="16" t="s">
        <v>626</v>
      </c>
      <c r="B30" s="247"/>
      <c r="C30" s="18" t="s">
        <v>864</v>
      </c>
      <c r="D30" s="18" t="s">
        <v>1103</v>
      </c>
      <c r="E30" s="18"/>
      <c r="F30" s="18" t="s">
        <v>71</v>
      </c>
      <c r="G30" s="19"/>
    </row>
    <row r="31" spans="1:7">
      <c r="A31" s="16" t="s">
        <v>627</v>
      </c>
      <c r="B31" s="247"/>
      <c r="C31" s="18" t="s">
        <v>620</v>
      </c>
      <c r="D31" s="18" t="s">
        <v>865</v>
      </c>
      <c r="E31" s="18"/>
      <c r="F31" s="18" t="s">
        <v>71</v>
      </c>
      <c r="G31" s="19"/>
    </row>
    <row r="32" spans="1:7">
      <c r="A32" s="16" t="s">
        <v>628</v>
      </c>
      <c r="B32" s="247"/>
      <c r="C32" s="18" t="s">
        <v>622</v>
      </c>
      <c r="D32" s="18">
        <v>0</v>
      </c>
      <c r="E32" s="18"/>
      <c r="F32" s="18" t="s">
        <v>71</v>
      </c>
      <c r="G32" s="19"/>
    </row>
    <row r="33" spans="1:7">
      <c r="A33" s="16" t="s">
        <v>630</v>
      </c>
      <c r="B33" s="247"/>
      <c r="C33" s="18" t="s">
        <v>866</v>
      </c>
      <c r="D33" s="18" t="s">
        <v>867</v>
      </c>
      <c r="E33" s="18"/>
      <c r="F33" s="18" t="s">
        <v>71</v>
      </c>
      <c r="G33" s="19"/>
    </row>
    <row r="34" spans="1:7">
      <c r="A34" s="16" t="s">
        <v>632</v>
      </c>
      <c r="B34" s="247"/>
      <c r="C34" s="18" t="s">
        <v>868</v>
      </c>
      <c r="D34" s="18" t="s">
        <v>869</v>
      </c>
      <c r="E34" s="18"/>
      <c r="F34" s="18" t="s">
        <v>71</v>
      </c>
      <c r="G34" s="19"/>
    </row>
    <row r="35" spans="1:7" ht="17" thickBot="1">
      <c r="A35" s="20" t="s">
        <v>634</v>
      </c>
      <c r="B35" s="248"/>
      <c r="C35" s="22" t="s">
        <v>870</v>
      </c>
      <c r="D35" s="22" t="s">
        <v>871</v>
      </c>
      <c r="E35" s="22"/>
      <c r="F35" s="22" t="s">
        <v>71</v>
      </c>
      <c r="G35" s="23"/>
    </row>
    <row r="36" spans="1:7">
      <c r="A36" s="59" t="s">
        <v>635</v>
      </c>
      <c r="B36" s="247" t="s">
        <v>1099</v>
      </c>
      <c r="C36" s="52" t="s">
        <v>629</v>
      </c>
      <c r="D36" s="52" t="s">
        <v>872</v>
      </c>
      <c r="E36" s="52"/>
      <c r="F36" s="52" t="s">
        <v>71</v>
      </c>
      <c r="G36" s="53"/>
    </row>
    <row r="37" spans="1:7">
      <c r="A37" s="16" t="s">
        <v>638</v>
      </c>
      <c r="B37" s="247"/>
      <c r="C37" s="18" t="s">
        <v>631</v>
      </c>
      <c r="D37" s="18" t="s">
        <v>873</v>
      </c>
      <c r="E37" s="18"/>
      <c r="F37" s="18" t="s">
        <v>71</v>
      </c>
      <c r="G37" s="19"/>
    </row>
    <row r="38" spans="1:7">
      <c r="A38" s="16" t="s">
        <v>641</v>
      </c>
      <c r="B38" s="247"/>
      <c r="C38" s="18" t="s">
        <v>633</v>
      </c>
      <c r="D38" s="18" t="s">
        <v>874</v>
      </c>
      <c r="E38" s="18"/>
      <c r="F38" s="18" t="s">
        <v>71</v>
      </c>
      <c r="G38" s="19"/>
    </row>
    <row r="39" spans="1:7">
      <c r="A39" s="16" t="s">
        <v>642</v>
      </c>
      <c r="B39" s="247"/>
      <c r="C39" s="18" t="s">
        <v>636</v>
      </c>
      <c r="D39" s="18" t="s">
        <v>637</v>
      </c>
      <c r="E39" s="18"/>
      <c r="F39" s="18" t="s">
        <v>71</v>
      </c>
      <c r="G39" s="19"/>
    </row>
    <row r="40" spans="1:7" ht="17" thickBot="1">
      <c r="A40" s="58" t="s">
        <v>643</v>
      </c>
      <c r="B40" s="247"/>
      <c r="C40" s="48" t="s">
        <v>639</v>
      </c>
      <c r="D40" s="48" t="s">
        <v>640</v>
      </c>
      <c r="E40" s="48"/>
      <c r="F40" s="48" t="s">
        <v>71</v>
      </c>
      <c r="G40" s="49"/>
    </row>
    <row r="41" spans="1:7">
      <c r="A41" s="12" t="s">
        <v>645</v>
      </c>
      <c r="B41" s="246" t="s">
        <v>1100</v>
      </c>
      <c r="C41" s="14" t="s">
        <v>875</v>
      </c>
      <c r="D41" s="14" t="s">
        <v>876</v>
      </c>
      <c r="E41" s="14"/>
      <c r="F41" s="14" t="s">
        <v>71</v>
      </c>
      <c r="G41" s="15"/>
    </row>
    <row r="42" spans="1:7">
      <c r="A42" s="16" t="s">
        <v>646</v>
      </c>
      <c r="B42" s="247"/>
      <c r="C42" s="18" t="s">
        <v>877</v>
      </c>
      <c r="D42" s="18">
        <v>25</v>
      </c>
      <c r="E42" s="18"/>
      <c r="F42" s="18" t="s">
        <v>71</v>
      </c>
      <c r="G42" s="19"/>
    </row>
    <row r="43" spans="1:7">
      <c r="A43" s="16" t="s">
        <v>878</v>
      </c>
      <c r="B43" s="247"/>
      <c r="C43" s="18" t="s">
        <v>879</v>
      </c>
      <c r="D43" s="18" t="s">
        <v>644</v>
      </c>
      <c r="E43" s="18"/>
      <c r="F43" s="18" t="s">
        <v>71</v>
      </c>
      <c r="G43" s="19"/>
    </row>
    <row r="44" spans="1:7" ht="17" thickBot="1">
      <c r="A44" s="20" t="s">
        <v>880</v>
      </c>
      <c r="B44" s="248"/>
      <c r="C44" s="22" t="s">
        <v>881</v>
      </c>
      <c r="D44" s="22" t="s">
        <v>882</v>
      </c>
      <c r="E44" s="22"/>
      <c r="F44" s="22" t="s">
        <v>71</v>
      </c>
      <c r="G44" s="23"/>
    </row>
  </sheetData>
  <mergeCells count="8">
    <mergeCell ref="B36:B40"/>
    <mergeCell ref="B41:B44"/>
    <mergeCell ref="A1:G1"/>
    <mergeCell ref="B3:B12"/>
    <mergeCell ref="B13:B17"/>
    <mergeCell ref="B18:B22"/>
    <mergeCell ref="B23:B27"/>
    <mergeCell ref="B28:B35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9C52A-5D8A-3C44-A45D-448683CC585B}">
  <dimension ref="A1:G42"/>
  <sheetViews>
    <sheetView zoomScaleNormal="100" workbookViewId="0">
      <selection activeCell="A2" sqref="A2:XFD2"/>
    </sheetView>
  </sheetViews>
  <sheetFormatPr baseColWidth="10" defaultRowHeight="16"/>
  <cols>
    <col min="1" max="1" width="10.83203125" style="1"/>
    <col min="2" max="2" width="13.1640625" style="1" bestFit="1" customWidth="1"/>
    <col min="3" max="3" width="52.1640625" style="1" customWidth="1"/>
    <col min="4" max="4" width="79.83203125" style="1" customWidth="1"/>
    <col min="5" max="5" width="42.5" style="1" customWidth="1"/>
    <col min="6" max="16384" width="10.83203125" style="1"/>
  </cols>
  <sheetData>
    <row r="1" spans="1:7" ht="20" thickBot="1">
      <c r="A1" s="237" t="s">
        <v>1088</v>
      </c>
      <c r="B1" s="238"/>
      <c r="C1" s="238"/>
      <c r="D1" s="238"/>
      <c r="E1" s="238"/>
      <c r="F1" s="238"/>
      <c r="G1" s="239"/>
    </row>
    <row r="2" spans="1:7" ht="17" thickBot="1">
      <c r="A2" s="4" t="s">
        <v>918</v>
      </c>
      <c r="B2" s="4" t="s">
        <v>68</v>
      </c>
      <c r="C2" s="4" t="s">
        <v>925</v>
      </c>
      <c r="D2" s="4" t="s">
        <v>926</v>
      </c>
      <c r="E2" s="4" t="s">
        <v>971</v>
      </c>
      <c r="F2" s="4" t="s">
        <v>0</v>
      </c>
      <c r="G2" s="5" t="s">
        <v>927</v>
      </c>
    </row>
    <row r="3" spans="1:7">
      <c r="A3" s="42" t="s">
        <v>647</v>
      </c>
      <c r="B3" s="246" t="s">
        <v>1081</v>
      </c>
      <c r="C3" s="13" t="s">
        <v>648</v>
      </c>
      <c r="D3" s="14" t="s">
        <v>649</v>
      </c>
      <c r="E3" s="14"/>
      <c r="F3" s="14" t="s">
        <v>71</v>
      </c>
      <c r="G3" s="15"/>
    </row>
    <row r="4" spans="1:7">
      <c r="A4" s="43" t="s">
        <v>650</v>
      </c>
      <c r="B4" s="247"/>
      <c r="C4" s="17" t="s">
        <v>651</v>
      </c>
      <c r="D4" s="18" t="s">
        <v>652</v>
      </c>
      <c r="E4" s="18"/>
      <c r="F4" s="18" t="s">
        <v>71</v>
      </c>
      <c r="G4" s="19"/>
    </row>
    <row r="5" spans="1:7">
      <c r="A5" s="43" t="s">
        <v>653</v>
      </c>
      <c r="B5" s="247"/>
      <c r="C5" s="17" t="s">
        <v>654</v>
      </c>
      <c r="D5" s="18" t="s">
        <v>655</v>
      </c>
      <c r="E5" s="18"/>
      <c r="F5" s="18" t="s">
        <v>71</v>
      </c>
      <c r="G5" s="19"/>
    </row>
    <row r="6" spans="1:7">
      <c r="A6" s="43" t="s">
        <v>656</v>
      </c>
      <c r="B6" s="247"/>
      <c r="C6" s="17" t="s">
        <v>657</v>
      </c>
      <c r="D6" s="18" t="s">
        <v>658</v>
      </c>
      <c r="E6" s="18"/>
      <c r="F6" s="18" t="s">
        <v>71</v>
      </c>
      <c r="G6" s="19"/>
    </row>
    <row r="7" spans="1:7" ht="68">
      <c r="A7" s="43" t="s">
        <v>659</v>
      </c>
      <c r="B7" s="247"/>
      <c r="C7" s="17" t="s">
        <v>660</v>
      </c>
      <c r="D7" s="60" t="s">
        <v>815</v>
      </c>
      <c r="E7" s="18"/>
      <c r="F7" s="18" t="s">
        <v>71</v>
      </c>
      <c r="G7" s="19"/>
    </row>
    <row r="8" spans="1:7">
      <c r="A8" s="43" t="s">
        <v>661</v>
      </c>
      <c r="B8" s="247"/>
      <c r="C8" s="17" t="s">
        <v>662</v>
      </c>
      <c r="D8" s="18" t="s">
        <v>663</v>
      </c>
      <c r="E8" s="18"/>
      <c r="F8" s="18" t="s">
        <v>71</v>
      </c>
      <c r="G8" s="19"/>
    </row>
    <row r="9" spans="1:7">
      <c r="A9" s="43" t="s">
        <v>664</v>
      </c>
      <c r="B9" s="247"/>
      <c r="C9" s="17" t="s">
        <v>665</v>
      </c>
      <c r="D9" s="18" t="s">
        <v>666</v>
      </c>
      <c r="E9" s="18"/>
      <c r="F9" s="18" t="s">
        <v>71</v>
      </c>
      <c r="G9" s="19"/>
    </row>
    <row r="10" spans="1:7" ht="17" thickBot="1">
      <c r="A10" s="46" t="s">
        <v>667</v>
      </c>
      <c r="B10" s="247"/>
      <c r="C10" s="47" t="s">
        <v>668</v>
      </c>
      <c r="D10" s="48" t="s">
        <v>207</v>
      </c>
      <c r="E10" s="48"/>
      <c r="F10" s="22" t="s">
        <v>71</v>
      </c>
      <c r="G10" s="49"/>
    </row>
    <row r="11" spans="1:7">
      <c r="A11" s="42" t="s">
        <v>669</v>
      </c>
      <c r="B11" s="246" t="s">
        <v>1082</v>
      </c>
      <c r="C11" s="13" t="s">
        <v>670</v>
      </c>
      <c r="D11" s="14" t="s">
        <v>671</v>
      </c>
      <c r="E11" s="14"/>
      <c r="F11" s="14" t="s">
        <v>71</v>
      </c>
      <c r="G11" s="15"/>
    </row>
    <row r="12" spans="1:7">
      <c r="A12" s="43" t="s">
        <v>672</v>
      </c>
      <c r="B12" s="247"/>
      <c r="C12" s="17" t="s">
        <v>673</v>
      </c>
      <c r="D12" s="18" t="s">
        <v>812</v>
      </c>
      <c r="E12" s="18"/>
      <c r="F12" s="18" t="s">
        <v>71</v>
      </c>
      <c r="G12" s="19"/>
    </row>
    <row r="13" spans="1:7">
      <c r="A13" s="44" t="s">
        <v>674</v>
      </c>
      <c r="B13" s="247"/>
      <c r="C13" s="9" t="s">
        <v>675</v>
      </c>
      <c r="D13" s="10" t="s">
        <v>676</v>
      </c>
      <c r="E13" s="10" t="s">
        <v>813</v>
      </c>
      <c r="F13" s="10"/>
      <c r="G13" s="11" t="s">
        <v>923</v>
      </c>
    </row>
    <row r="14" spans="1:7">
      <c r="A14" s="44" t="s">
        <v>677</v>
      </c>
      <c r="B14" s="247"/>
      <c r="C14" s="9" t="s">
        <v>678</v>
      </c>
      <c r="D14" s="10" t="s">
        <v>814</v>
      </c>
      <c r="E14" s="10" t="s">
        <v>1091</v>
      </c>
      <c r="F14" s="10"/>
      <c r="G14" s="11" t="s">
        <v>923</v>
      </c>
    </row>
    <row r="15" spans="1:7">
      <c r="A15" s="44" t="s">
        <v>679</v>
      </c>
      <c r="B15" s="247"/>
      <c r="C15" s="9" t="s">
        <v>680</v>
      </c>
      <c r="D15" s="10" t="s">
        <v>681</v>
      </c>
      <c r="E15" s="10" t="s">
        <v>813</v>
      </c>
      <c r="F15" s="10"/>
      <c r="G15" s="11" t="s">
        <v>923</v>
      </c>
    </row>
    <row r="16" spans="1:7">
      <c r="A16" s="43" t="s">
        <v>682</v>
      </c>
      <c r="B16" s="247"/>
      <c r="C16" s="17" t="s">
        <v>683</v>
      </c>
      <c r="D16" s="18" t="s">
        <v>296</v>
      </c>
      <c r="E16" s="18"/>
      <c r="F16" s="18" t="s">
        <v>71</v>
      </c>
      <c r="G16" s="19"/>
    </row>
    <row r="17" spans="1:7" ht="17" thickBot="1">
      <c r="A17" s="45" t="s">
        <v>684</v>
      </c>
      <c r="B17" s="248"/>
      <c r="C17" s="21" t="s">
        <v>685</v>
      </c>
      <c r="D17" s="22" t="s">
        <v>686</v>
      </c>
      <c r="E17" s="22"/>
      <c r="F17" s="22" t="s">
        <v>71</v>
      </c>
      <c r="G17" s="23"/>
    </row>
    <row r="18" spans="1:7">
      <c r="A18" s="50" t="s">
        <v>687</v>
      </c>
      <c r="B18" s="247" t="s">
        <v>1083</v>
      </c>
      <c r="C18" s="51" t="s">
        <v>688</v>
      </c>
      <c r="D18" s="52" t="s">
        <v>689</v>
      </c>
      <c r="E18" s="52"/>
      <c r="F18" s="14" t="s">
        <v>71</v>
      </c>
      <c r="G18" s="53"/>
    </row>
    <row r="19" spans="1:7">
      <c r="A19" s="43" t="s">
        <v>690</v>
      </c>
      <c r="B19" s="247"/>
      <c r="C19" s="17" t="s">
        <v>691</v>
      </c>
      <c r="D19" s="18" t="s">
        <v>692</v>
      </c>
      <c r="E19" s="18"/>
      <c r="F19" s="18" t="s">
        <v>71</v>
      </c>
      <c r="G19" s="19"/>
    </row>
    <row r="20" spans="1:7">
      <c r="A20" s="43" t="s">
        <v>693</v>
      </c>
      <c r="B20" s="247"/>
      <c r="C20" s="17" t="s">
        <v>694</v>
      </c>
      <c r="D20" s="18" t="s">
        <v>695</v>
      </c>
      <c r="E20" s="18"/>
      <c r="F20" s="18" t="s">
        <v>71</v>
      </c>
      <c r="G20" s="19"/>
    </row>
    <row r="21" spans="1:7">
      <c r="A21" s="43" t="s">
        <v>696</v>
      </c>
      <c r="B21" s="247"/>
      <c r="C21" s="17" t="s">
        <v>697</v>
      </c>
      <c r="D21" s="18" t="s">
        <v>698</v>
      </c>
      <c r="E21" s="18"/>
      <c r="F21" s="18" t="s">
        <v>71</v>
      </c>
      <c r="G21" s="19"/>
    </row>
    <row r="22" spans="1:7">
      <c r="A22" s="43" t="s">
        <v>699</v>
      </c>
      <c r="B22" s="247"/>
      <c r="C22" s="17" t="s">
        <v>700</v>
      </c>
      <c r="D22" s="18" t="s">
        <v>701</v>
      </c>
      <c r="E22" s="18"/>
      <c r="F22" s="18" t="s">
        <v>71</v>
      </c>
      <c r="G22" s="19"/>
    </row>
    <row r="23" spans="1:7" ht="17" thickBot="1">
      <c r="A23" s="46" t="s">
        <v>702</v>
      </c>
      <c r="B23" s="247"/>
      <c r="C23" s="47" t="s">
        <v>703</v>
      </c>
      <c r="D23" s="48" t="s">
        <v>704</v>
      </c>
      <c r="E23" s="48"/>
      <c r="F23" s="22" t="s">
        <v>71</v>
      </c>
      <c r="G23" s="49"/>
    </row>
    <row r="24" spans="1:7">
      <c r="A24" s="42" t="s">
        <v>705</v>
      </c>
      <c r="B24" s="246" t="s">
        <v>1084</v>
      </c>
      <c r="C24" s="13" t="s">
        <v>706</v>
      </c>
      <c r="D24" s="14" t="s">
        <v>707</v>
      </c>
      <c r="E24" s="14"/>
      <c r="F24" s="14" t="s">
        <v>71</v>
      </c>
      <c r="G24" s="15"/>
    </row>
    <row r="25" spans="1:7">
      <c r="A25" s="43" t="s">
        <v>708</v>
      </c>
      <c r="B25" s="247"/>
      <c r="C25" s="17" t="s">
        <v>709</v>
      </c>
      <c r="D25" s="18" t="s">
        <v>710</v>
      </c>
      <c r="E25" s="18"/>
      <c r="F25" s="18" t="s">
        <v>71</v>
      </c>
      <c r="G25" s="19"/>
    </row>
    <row r="26" spans="1:7">
      <c r="A26" s="43" t="s">
        <v>711</v>
      </c>
      <c r="B26" s="247"/>
      <c r="C26" s="17" t="s">
        <v>712</v>
      </c>
      <c r="D26" s="18">
        <v>6</v>
      </c>
      <c r="E26" s="18"/>
      <c r="F26" s="18" t="s">
        <v>71</v>
      </c>
      <c r="G26" s="19"/>
    </row>
    <row r="27" spans="1:7">
      <c r="A27" s="43" t="s">
        <v>713</v>
      </c>
      <c r="B27" s="247"/>
      <c r="C27" s="17" t="s">
        <v>714</v>
      </c>
      <c r="D27" s="18" t="s">
        <v>715</v>
      </c>
      <c r="E27" s="18"/>
      <c r="F27" s="18" t="s">
        <v>71</v>
      </c>
      <c r="G27" s="19"/>
    </row>
    <row r="28" spans="1:7">
      <c r="A28" s="43" t="s">
        <v>716</v>
      </c>
      <c r="B28" s="247"/>
      <c r="C28" s="17" t="s">
        <v>717</v>
      </c>
      <c r="D28" s="18">
        <v>0</v>
      </c>
      <c r="E28" s="18"/>
      <c r="F28" s="18" t="s">
        <v>71</v>
      </c>
      <c r="G28" s="19"/>
    </row>
    <row r="29" spans="1:7" ht="17" thickBot="1">
      <c r="A29" s="45" t="s">
        <v>718</v>
      </c>
      <c r="B29" s="248"/>
      <c r="C29" s="21" t="s">
        <v>719</v>
      </c>
      <c r="D29" s="22" t="s">
        <v>720</v>
      </c>
      <c r="E29" s="22"/>
      <c r="F29" s="22" t="s">
        <v>71</v>
      </c>
      <c r="G29" s="23"/>
    </row>
    <row r="30" spans="1:7">
      <c r="A30" s="50" t="s">
        <v>721</v>
      </c>
      <c r="B30" s="247" t="s">
        <v>1085</v>
      </c>
      <c r="C30" s="51" t="s">
        <v>722</v>
      </c>
      <c r="D30" s="52" t="s">
        <v>723</v>
      </c>
      <c r="E30" s="52"/>
      <c r="F30" s="14" t="s">
        <v>71</v>
      </c>
      <c r="G30" s="53"/>
    </row>
    <row r="31" spans="1:7">
      <c r="A31" s="43" t="s">
        <v>724</v>
      </c>
      <c r="B31" s="247"/>
      <c r="C31" s="17" t="s">
        <v>725</v>
      </c>
      <c r="D31" s="18">
        <v>9</v>
      </c>
      <c r="E31" s="18"/>
      <c r="F31" s="18" t="s">
        <v>71</v>
      </c>
      <c r="G31" s="19"/>
    </row>
    <row r="32" spans="1:7">
      <c r="A32" s="43" t="s">
        <v>726</v>
      </c>
      <c r="B32" s="247"/>
      <c r="C32" s="17" t="s">
        <v>727</v>
      </c>
      <c r="D32" s="18">
        <v>2</v>
      </c>
      <c r="E32" s="18"/>
      <c r="F32" s="18" t="s">
        <v>71</v>
      </c>
      <c r="G32" s="19"/>
    </row>
    <row r="33" spans="1:7">
      <c r="A33" s="43" t="s">
        <v>728</v>
      </c>
      <c r="B33" s="247"/>
      <c r="C33" s="17" t="s">
        <v>729</v>
      </c>
      <c r="D33" s="18" t="s">
        <v>730</v>
      </c>
      <c r="E33" s="18"/>
      <c r="F33" s="18" t="s">
        <v>71</v>
      </c>
      <c r="G33" s="19"/>
    </row>
    <row r="34" spans="1:7">
      <c r="A34" s="43" t="s">
        <v>731</v>
      </c>
      <c r="B34" s="247"/>
      <c r="C34" s="17" t="s">
        <v>732</v>
      </c>
      <c r="D34" s="18" t="s">
        <v>733</v>
      </c>
      <c r="E34" s="18"/>
      <c r="F34" s="18" t="s">
        <v>71</v>
      </c>
      <c r="G34" s="19"/>
    </row>
    <row r="35" spans="1:7">
      <c r="A35" s="43" t="s">
        <v>734</v>
      </c>
      <c r="B35" s="247"/>
      <c r="C35" s="17" t="s">
        <v>735</v>
      </c>
      <c r="D35" s="18" t="s">
        <v>736</v>
      </c>
      <c r="E35" s="18"/>
      <c r="F35" s="18" t="s">
        <v>71</v>
      </c>
      <c r="G35" s="19"/>
    </row>
    <row r="36" spans="1:7" ht="17" thickBot="1">
      <c r="A36" s="46" t="s">
        <v>737</v>
      </c>
      <c r="B36" s="247"/>
      <c r="C36" s="47" t="s">
        <v>738</v>
      </c>
      <c r="D36" s="48" t="s">
        <v>704</v>
      </c>
      <c r="E36" s="48"/>
      <c r="F36" s="22" t="s">
        <v>71</v>
      </c>
      <c r="G36" s="49"/>
    </row>
    <row r="37" spans="1:7">
      <c r="A37" s="42" t="s">
        <v>739</v>
      </c>
      <c r="B37" s="246" t="s">
        <v>1086</v>
      </c>
      <c r="C37" s="13" t="s">
        <v>740</v>
      </c>
      <c r="D37" s="14" t="s">
        <v>741</v>
      </c>
      <c r="E37" s="14"/>
      <c r="F37" s="14" t="s">
        <v>71</v>
      </c>
      <c r="G37" s="15"/>
    </row>
    <row r="38" spans="1:7">
      <c r="A38" s="43" t="s">
        <v>742</v>
      </c>
      <c r="B38" s="247"/>
      <c r="C38" s="17" t="s">
        <v>743</v>
      </c>
      <c r="D38" s="18" t="s">
        <v>744</v>
      </c>
      <c r="E38" s="18"/>
      <c r="F38" s="18" t="s">
        <v>71</v>
      </c>
      <c r="G38" s="19"/>
    </row>
    <row r="39" spans="1:7">
      <c r="A39" s="43" t="s">
        <v>745</v>
      </c>
      <c r="B39" s="247"/>
      <c r="C39" s="17" t="s">
        <v>746</v>
      </c>
      <c r="D39" s="18" t="s">
        <v>747</v>
      </c>
      <c r="E39" s="18"/>
      <c r="F39" s="18" t="s">
        <v>71</v>
      </c>
      <c r="G39" s="19"/>
    </row>
    <row r="40" spans="1:7">
      <c r="A40" s="43" t="s">
        <v>748</v>
      </c>
      <c r="B40" s="247"/>
      <c r="C40" s="17" t="s">
        <v>749</v>
      </c>
      <c r="D40" s="18" t="s">
        <v>750</v>
      </c>
      <c r="E40" s="18"/>
      <c r="F40" s="18" t="s">
        <v>71</v>
      </c>
      <c r="G40" s="19"/>
    </row>
    <row r="41" spans="1:7">
      <c r="A41" s="43" t="s">
        <v>751</v>
      </c>
      <c r="B41" s="247"/>
      <c r="C41" s="17" t="s">
        <v>752</v>
      </c>
      <c r="D41" s="18" t="s">
        <v>753</v>
      </c>
      <c r="E41" s="18"/>
      <c r="F41" s="18" t="s">
        <v>71</v>
      </c>
      <c r="G41" s="19"/>
    </row>
    <row r="42" spans="1:7" ht="17" thickBot="1">
      <c r="A42" s="45" t="s">
        <v>754</v>
      </c>
      <c r="B42" s="248"/>
      <c r="C42" s="21" t="s">
        <v>703</v>
      </c>
      <c r="D42" s="22" t="s">
        <v>704</v>
      </c>
      <c r="E42" s="22"/>
      <c r="F42" s="22" t="s">
        <v>71</v>
      </c>
      <c r="G42" s="23"/>
    </row>
  </sheetData>
  <mergeCells count="7">
    <mergeCell ref="B37:B42"/>
    <mergeCell ref="A1:G1"/>
    <mergeCell ref="B3:B10"/>
    <mergeCell ref="B11:B17"/>
    <mergeCell ref="B18:B23"/>
    <mergeCell ref="B24:B29"/>
    <mergeCell ref="B30:B36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06761-A9A8-764B-87F1-722779BCAD57}">
  <dimension ref="A1:G46"/>
  <sheetViews>
    <sheetView workbookViewId="0">
      <selection activeCell="H22" sqref="H22"/>
    </sheetView>
  </sheetViews>
  <sheetFormatPr baseColWidth="10" defaultRowHeight="16"/>
  <cols>
    <col min="1" max="1" width="10.83203125" style="7"/>
    <col min="2" max="2" width="13.1640625" style="7" bestFit="1" customWidth="1"/>
    <col min="3" max="3" width="37.33203125" style="7" customWidth="1"/>
    <col min="4" max="4" width="44.33203125" style="7" customWidth="1"/>
    <col min="5" max="5" width="15" style="7" bestFit="1" customWidth="1"/>
    <col min="6" max="7" width="10.83203125" style="7"/>
  </cols>
  <sheetData>
    <row r="1" spans="1:7" ht="20" thickBot="1">
      <c r="A1" s="237" t="s">
        <v>1087</v>
      </c>
      <c r="B1" s="238"/>
      <c r="C1" s="238"/>
      <c r="D1" s="238"/>
      <c r="E1" s="238"/>
      <c r="F1" s="238"/>
      <c r="G1" s="239"/>
    </row>
    <row r="2" spans="1:7" ht="17" thickBot="1">
      <c r="A2" s="4" t="s">
        <v>918</v>
      </c>
      <c r="B2" s="4" t="s">
        <v>68</v>
      </c>
      <c r="C2" s="4" t="s">
        <v>925</v>
      </c>
      <c r="D2" s="4" t="s">
        <v>926</v>
      </c>
      <c r="E2" s="4" t="s">
        <v>971</v>
      </c>
      <c r="F2" s="4" t="s">
        <v>0</v>
      </c>
      <c r="G2" s="5" t="s">
        <v>927</v>
      </c>
    </row>
    <row r="3" spans="1:7">
      <c r="A3" s="42" t="s">
        <v>755</v>
      </c>
      <c r="B3" s="259" t="s">
        <v>1067</v>
      </c>
      <c r="C3" s="13" t="s">
        <v>1183</v>
      </c>
      <c r="D3" s="14">
        <v>1000</v>
      </c>
      <c r="E3" s="14"/>
      <c r="F3" s="14" t="s">
        <v>71</v>
      </c>
      <c r="G3" s="15"/>
    </row>
    <row r="4" spans="1:7">
      <c r="A4" s="43" t="s">
        <v>756</v>
      </c>
      <c r="B4" s="260"/>
      <c r="C4" s="17" t="s">
        <v>1184</v>
      </c>
      <c r="D4" s="18">
        <v>1.6093440000000001</v>
      </c>
      <c r="E4" s="18"/>
      <c r="F4" s="18" t="s">
        <v>71</v>
      </c>
      <c r="G4" s="19"/>
    </row>
    <row r="5" spans="1:7">
      <c r="A5" s="43" t="s">
        <v>757</v>
      </c>
      <c r="B5" s="260"/>
      <c r="C5" s="17" t="s">
        <v>1185</v>
      </c>
      <c r="D5" s="18">
        <v>0</v>
      </c>
      <c r="E5" s="18"/>
      <c r="F5" s="18" t="s">
        <v>71</v>
      </c>
      <c r="G5" s="19"/>
    </row>
    <row r="6" spans="1:7">
      <c r="A6" s="43" t="s">
        <v>758</v>
      </c>
      <c r="B6" s="260"/>
      <c r="C6" s="17" t="s">
        <v>1186</v>
      </c>
      <c r="D6" s="18" t="s">
        <v>759</v>
      </c>
      <c r="E6" s="18"/>
      <c r="F6" s="18" t="s">
        <v>71</v>
      </c>
      <c r="G6" s="19"/>
    </row>
    <row r="7" spans="1:7" ht="17" thickBot="1">
      <c r="A7" s="46" t="s">
        <v>760</v>
      </c>
      <c r="B7" s="260"/>
      <c r="C7" s="47" t="s">
        <v>1187</v>
      </c>
      <c r="D7" s="48" t="s">
        <v>1188</v>
      </c>
      <c r="E7" s="48"/>
      <c r="F7" s="48" t="s">
        <v>71</v>
      </c>
      <c r="G7" s="49"/>
    </row>
    <row r="8" spans="1:7">
      <c r="A8" s="42" t="s">
        <v>761</v>
      </c>
      <c r="B8" s="259" t="s">
        <v>1068</v>
      </c>
      <c r="C8" s="12" t="s">
        <v>1189</v>
      </c>
      <c r="D8" s="14">
        <v>1000</v>
      </c>
      <c r="E8" s="14"/>
      <c r="F8" s="14" t="s">
        <v>71</v>
      </c>
      <c r="G8" s="15"/>
    </row>
    <row r="9" spans="1:7">
      <c r="A9" s="43" t="s">
        <v>762</v>
      </c>
      <c r="B9" s="260"/>
      <c r="C9" s="16" t="s">
        <v>1190</v>
      </c>
      <c r="D9" s="18">
        <v>0.45359237000000002</v>
      </c>
      <c r="E9" s="18"/>
      <c r="F9" s="18" t="s">
        <v>71</v>
      </c>
      <c r="G9" s="19"/>
    </row>
    <row r="10" spans="1:7" ht="17" thickBot="1">
      <c r="A10" s="45" t="s">
        <v>763</v>
      </c>
      <c r="B10" s="261"/>
      <c r="C10" s="20" t="s">
        <v>1191</v>
      </c>
      <c r="D10" s="22" t="s">
        <v>759</v>
      </c>
      <c r="E10" s="22"/>
      <c r="F10" s="22" t="s">
        <v>71</v>
      </c>
      <c r="G10" s="23"/>
    </row>
    <row r="11" spans="1:7">
      <c r="A11" s="50" t="s">
        <v>764</v>
      </c>
      <c r="B11" s="260" t="s">
        <v>1069</v>
      </c>
      <c r="C11" s="51" t="s">
        <v>1192</v>
      </c>
      <c r="D11" s="52">
        <v>212</v>
      </c>
      <c r="E11" s="52"/>
      <c r="F11" s="52" t="s">
        <v>71</v>
      </c>
      <c r="G11" s="53"/>
    </row>
    <row r="12" spans="1:7">
      <c r="A12" s="43" t="s">
        <v>765</v>
      </c>
      <c r="B12" s="260"/>
      <c r="C12" s="17" t="s">
        <v>1193</v>
      </c>
      <c r="D12" s="18">
        <v>32</v>
      </c>
      <c r="E12" s="18"/>
      <c r="F12" s="18" t="s">
        <v>71</v>
      </c>
      <c r="G12" s="19"/>
    </row>
    <row r="13" spans="1:7">
      <c r="A13" s="43" t="s">
        <v>766</v>
      </c>
      <c r="B13" s="260"/>
      <c r="C13" s="17" t="s">
        <v>1194</v>
      </c>
      <c r="D13" s="18">
        <v>273.14999999999998</v>
      </c>
      <c r="E13" s="18"/>
      <c r="F13" s="18" t="s">
        <v>71</v>
      </c>
      <c r="G13" s="19"/>
    </row>
    <row r="14" spans="1:7">
      <c r="A14" s="43" t="s">
        <v>767</v>
      </c>
      <c r="B14" s="260"/>
      <c r="C14" s="17" t="s">
        <v>1195</v>
      </c>
      <c r="D14" s="18" t="s">
        <v>1196</v>
      </c>
      <c r="E14" s="18"/>
      <c r="F14" s="18" t="s">
        <v>71</v>
      </c>
      <c r="G14" s="19"/>
    </row>
    <row r="15" spans="1:7">
      <c r="A15" s="43" t="s">
        <v>768</v>
      </c>
      <c r="B15" s="260"/>
      <c r="C15" s="17" t="s">
        <v>1197</v>
      </c>
      <c r="D15" s="18" t="s">
        <v>769</v>
      </c>
      <c r="E15" s="18"/>
      <c r="F15" s="18" t="s">
        <v>71</v>
      </c>
      <c r="G15" s="19"/>
    </row>
    <row r="16" spans="1:7" ht="17" thickBot="1">
      <c r="A16" s="46" t="s">
        <v>770</v>
      </c>
      <c r="B16" s="260"/>
      <c r="C16" s="47" t="s">
        <v>1198</v>
      </c>
      <c r="D16" s="48" t="s">
        <v>1199</v>
      </c>
      <c r="E16" s="48"/>
      <c r="F16" s="48" t="s">
        <v>71</v>
      </c>
      <c r="G16" s="49"/>
    </row>
    <row r="17" spans="1:7">
      <c r="A17" s="42" t="s">
        <v>771</v>
      </c>
      <c r="B17" s="259" t="s">
        <v>1070</v>
      </c>
      <c r="C17" s="12" t="s">
        <v>1200</v>
      </c>
      <c r="D17" s="14">
        <v>1000000</v>
      </c>
      <c r="E17" s="14"/>
      <c r="F17" s="14" t="s">
        <v>71</v>
      </c>
      <c r="G17" s="15"/>
    </row>
    <row r="18" spans="1:7">
      <c r="A18" s="43" t="s">
        <v>772</v>
      </c>
      <c r="B18" s="260"/>
      <c r="C18" s="16" t="s">
        <v>1201</v>
      </c>
      <c r="D18" s="18">
        <v>4046.8560000000002</v>
      </c>
      <c r="E18" s="18"/>
      <c r="F18" s="18" t="s">
        <v>71</v>
      </c>
      <c r="G18" s="19"/>
    </row>
    <row r="19" spans="1:7" ht="17" thickBot="1">
      <c r="A19" s="45" t="s">
        <v>773</v>
      </c>
      <c r="B19" s="261"/>
      <c r="C19" s="20" t="s">
        <v>1202</v>
      </c>
      <c r="D19" s="22" t="s">
        <v>759</v>
      </c>
      <c r="E19" s="22"/>
      <c r="F19" s="22" t="s">
        <v>71</v>
      </c>
      <c r="G19" s="23"/>
    </row>
    <row r="20" spans="1:7">
      <c r="A20" s="50" t="s">
        <v>774</v>
      </c>
      <c r="B20" s="260" t="s">
        <v>1071</v>
      </c>
      <c r="C20" s="51" t="s">
        <v>1203</v>
      </c>
      <c r="D20" s="52">
        <v>1000</v>
      </c>
      <c r="E20" s="52"/>
      <c r="F20" s="52" t="s">
        <v>71</v>
      </c>
      <c r="G20" s="53"/>
    </row>
    <row r="21" spans="1:7">
      <c r="A21" s="43" t="s">
        <v>775</v>
      </c>
      <c r="B21" s="260"/>
      <c r="C21" s="17" t="s">
        <v>1204</v>
      </c>
      <c r="D21" s="18">
        <v>3.785412</v>
      </c>
      <c r="E21" s="18"/>
      <c r="F21" s="18" t="s">
        <v>71</v>
      </c>
      <c r="G21" s="19"/>
    </row>
    <row r="22" spans="1:7" ht="17" thickBot="1">
      <c r="A22" s="46" t="s">
        <v>776</v>
      </c>
      <c r="B22" s="260"/>
      <c r="C22" s="47" t="s">
        <v>1205</v>
      </c>
      <c r="D22" s="48">
        <v>0</v>
      </c>
      <c r="E22" s="48"/>
      <c r="F22" s="48" t="s">
        <v>71</v>
      </c>
      <c r="G22" s="49"/>
    </row>
    <row r="23" spans="1:7">
      <c r="A23" s="42" t="s">
        <v>777</v>
      </c>
      <c r="B23" s="259" t="s">
        <v>1072</v>
      </c>
      <c r="C23" s="12" t="s">
        <v>1206</v>
      </c>
      <c r="D23" s="14">
        <v>3.6</v>
      </c>
      <c r="E23" s="14"/>
      <c r="F23" s="14" t="s">
        <v>71</v>
      </c>
      <c r="G23" s="15"/>
    </row>
    <row r="24" spans="1:7">
      <c r="A24" s="43" t="s">
        <v>778</v>
      </c>
      <c r="B24" s="260"/>
      <c r="C24" s="16" t="s">
        <v>1207</v>
      </c>
      <c r="D24" s="18">
        <v>62.137120000000003</v>
      </c>
      <c r="E24" s="18"/>
      <c r="F24" s="18" t="s">
        <v>71</v>
      </c>
      <c r="G24" s="19"/>
    </row>
    <row r="25" spans="1:7" ht="17" thickBot="1">
      <c r="A25" s="45" t="s">
        <v>779</v>
      </c>
      <c r="B25" s="261"/>
      <c r="C25" s="20" t="s">
        <v>1208</v>
      </c>
      <c r="D25" s="22" t="s">
        <v>759</v>
      </c>
      <c r="E25" s="22"/>
      <c r="F25" s="22" t="s">
        <v>71</v>
      </c>
      <c r="G25" s="23"/>
    </row>
    <row r="26" spans="1:7">
      <c r="A26" s="50" t="s">
        <v>780</v>
      </c>
      <c r="B26" s="260" t="s">
        <v>1073</v>
      </c>
      <c r="C26" s="51" t="s">
        <v>1209</v>
      </c>
      <c r="D26" s="52">
        <v>101325</v>
      </c>
      <c r="E26" s="52"/>
      <c r="F26" s="52" t="s">
        <v>71</v>
      </c>
      <c r="G26" s="53"/>
    </row>
    <row r="27" spans="1:7" ht="17" thickBot="1">
      <c r="A27" s="46" t="s">
        <v>781</v>
      </c>
      <c r="B27" s="260"/>
      <c r="C27" s="47" t="s">
        <v>1210</v>
      </c>
      <c r="D27" s="48">
        <v>100000</v>
      </c>
      <c r="E27" s="48"/>
      <c r="F27" s="48" t="s">
        <v>71</v>
      </c>
      <c r="G27" s="49"/>
    </row>
    <row r="28" spans="1:7">
      <c r="A28" s="42" t="s">
        <v>782</v>
      </c>
      <c r="B28" s="259" t="s">
        <v>1074</v>
      </c>
      <c r="C28" s="12" t="s">
        <v>1211</v>
      </c>
      <c r="D28" s="14">
        <v>1000</v>
      </c>
      <c r="E28" s="14"/>
      <c r="F28" s="14" t="s">
        <v>71</v>
      </c>
      <c r="G28" s="15"/>
    </row>
    <row r="29" spans="1:7" ht="17" thickBot="1">
      <c r="A29" s="45" t="s">
        <v>783</v>
      </c>
      <c r="B29" s="261"/>
      <c r="C29" s="20" t="s">
        <v>1212</v>
      </c>
      <c r="D29" s="22">
        <v>745.7</v>
      </c>
      <c r="E29" s="22"/>
      <c r="F29" s="22" t="s">
        <v>71</v>
      </c>
      <c r="G29" s="23"/>
    </row>
    <row r="30" spans="1:7">
      <c r="A30" s="50" t="s">
        <v>784</v>
      </c>
      <c r="B30" s="260" t="s">
        <v>1075</v>
      </c>
      <c r="C30" s="51" t="s">
        <v>1213</v>
      </c>
      <c r="D30" s="52">
        <v>4184</v>
      </c>
      <c r="E30" s="52"/>
      <c r="F30" s="52" t="s">
        <v>71</v>
      </c>
      <c r="G30" s="53"/>
    </row>
    <row r="31" spans="1:7" ht="17" thickBot="1">
      <c r="A31" s="46" t="s">
        <v>785</v>
      </c>
      <c r="B31" s="260"/>
      <c r="C31" s="47" t="s">
        <v>1214</v>
      </c>
      <c r="D31" s="48">
        <v>3600000</v>
      </c>
      <c r="E31" s="48"/>
      <c r="F31" s="48" t="s">
        <v>71</v>
      </c>
      <c r="G31" s="49"/>
    </row>
    <row r="32" spans="1:7">
      <c r="A32" s="42" t="s">
        <v>786</v>
      </c>
      <c r="B32" s="259" t="s">
        <v>1076</v>
      </c>
      <c r="C32" s="12" t="s">
        <v>1215</v>
      </c>
      <c r="D32" s="14">
        <v>11111111</v>
      </c>
      <c r="E32" s="14"/>
      <c r="F32" s="14" t="s">
        <v>71</v>
      </c>
      <c r="G32" s="15"/>
    </row>
    <row r="33" spans="1:7">
      <c r="A33" s="43" t="s">
        <v>787</v>
      </c>
      <c r="B33" s="260"/>
      <c r="C33" s="16" t="s">
        <v>1216</v>
      </c>
      <c r="D33" s="18" t="s">
        <v>595</v>
      </c>
      <c r="E33" s="18"/>
      <c r="F33" s="18" t="s">
        <v>71</v>
      </c>
      <c r="G33" s="19"/>
    </row>
    <row r="34" spans="1:7">
      <c r="A34" s="43" t="s">
        <v>788</v>
      </c>
      <c r="B34" s="260"/>
      <c r="C34" s="16" t="s">
        <v>1217</v>
      </c>
      <c r="D34" s="18">
        <v>255</v>
      </c>
      <c r="E34" s="18"/>
      <c r="F34" s="18" t="s">
        <v>71</v>
      </c>
      <c r="G34" s="19"/>
    </row>
    <row r="35" spans="1:7">
      <c r="A35" s="43" t="s">
        <v>789</v>
      </c>
      <c r="B35" s="260"/>
      <c r="C35" s="16" t="s">
        <v>1218</v>
      </c>
      <c r="D35" s="18">
        <v>255</v>
      </c>
      <c r="E35" s="18"/>
      <c r="F35" s="18" t="s">
        <v>71</v>
      </c>
      <c r="G35" s="19"/>
    </row>
    <row r="36" spans="1:7" ht="17" thickBot="1">
      <c r="A36" s="45" t="s">
        <v>790</v>
      </c>
      <c r="B36" s="261"/>
      <c r="C36" s="20" t="s">
        <v>1219</v>
      </c>
      <c r="D36" s="22" t="s">
        <v>371</v>
      </c>
      <c r="E36" s="22"/>
      <c r="F36" s="22" t="s">
        <v>71</v>
      </c>
      <c r="G36" s="23"/>
    </row>
    <row r="37" spans="1:7">
      <c r="A37" s="54" t="s">
        <v>791</v>
      </c>
      <c r="B37" s="260" t="s">
        <v>1077</v>
      </c>
      <c r="C37" s="55" t="s">
        <v>1220</v>
      </c>
      <c r="D37" s="56" t="s">
        <v>792</v>
      </c>
      <c r="E37" s="56" t="s">
        <v>1079</v>
      </c>
      <c r="F37" s="56" t="s">
        <v>70</v>
      </c>
      <c r="G37" s="57" t="s">
        <v>923</v>
      </c>
    </row>
    <row r="38" spans="1:7">
      <c r="A38" s="43" t="s">
        <v>793</v>
      </c>
      <c r="B38" s="260"/>
      <c r="C38" s="17" t="s">
        <v>1221</v>
      </c>
      <c r="D38" s="18" t="s">
        <v>794</v>
      </c>
      <c r="E38" s="18"/>
      <c r="F38" s="18" t="s">
        <v>71</v>
      </c>
      <c r="G38" s="19"/>
    </row>
    <row r="39" spans="1:7">
      <c r="A39" s="43" t="s">
        <v>795</v>
      </c>
      <c r="B39" s="260"/>
      <c r="C39" s="17" t="s">
        <v>1222</v>
      </c>
      <c r="D39" s="18" t="s">
        <v>1223</v>
      </c>
      <c r="E39" s="18"/>
      <c r="F39" s="18" t="s">
        <v>71</v>
      </c>
      <c r="G39" s="19"/>
    </row>
    <row r="40" spans="1:7">
      <c r="A40" s="43" t="s">
        <v>796</v>
      </c>
      <c r="B40" s="260"/>
      <c r="C40" s="17" t="s">
        <v>1224</v>
      </c>
      <c r="D40" s="18" t="s">
        <v>759</v>
      </c>
      <c r="E40" s="18"/>
      <c r="F40" s="18" t="s">
        <v>71</v>
      </c>
      <c r="G40" s="19"/>
    </row>
    <row r="41" spans="1:7" ht="17" thickBot="1">
      <c r="A41" s="46" t="s">
        <v>797</v>
      </c>
      <c r="B41" s="260"/>
      <c r="C41" s="47" t="s">
        <v>1225</v>
      </c>
      <c r="D41" s="48" t="s">
        <v>1188</v>
      </c>
      <c r="E41" s="48"/>
      <c r="F41" s="48" t="s">
        <v>71</v>
      </c>
      <c r="G41" s="49"/>
    </row>
    <row r="42" spans="1:7">
      <c r="A42" s="42" t="s">
        <v>798</v>
      </c>
      <c r="B42" s="259" t="s">
        <v>1078</v>
      </c>
      <c r="C42" s="12" t="s">
        <v>799</v>
      </c>
      <c r="D42" s="14" t="s">
        <v>800</v>
      </c>
      <c r="E42" s="14"/>
      <c r="F42" s="14" t="s">
        <v>71</v>
      </c>
      <c r="G42" s="15"/>
    </row>
    <row r="43" spans="1:7">
      <c r="A43" s="43" t="s">
        <v>801</v>
      </c>
      <c r="B43" s="260"/>
      <c r="C43" s="16" t="s">
        <v>802</v>
      </c>
      <c r="D43" s="18" t="s">
        <v>803</v>
      </c>
      <c r="E43" s="18"/>
      <c r="F43" s="18" t="s">
        <v>71</v>
      </c>
      <c r="G43" s="19"/>
    </row>
    <row r="44" spans="1:7">
      <c r="A44" s="43" t="s">
        <v>804</v>
      </c>
      <c r="B44" s="260"/>
      <c r="C44" s="16" t="s">
        <v>805</v>
      </c>
      <c r="D44" s="18" t="s">
        <v>806</v>
      </c>
      <c r="E44" s="18"/>
      <c r="F44" s="18" t="s">
        <v>71</v>
      </c>
      <c r="G44" s="19"/>
    </row>
    <row r="45" spans="1:7">
      <c r="A45" s="43" t="s">
        <v>807</v>
      </c>
      <c r="B45" s="260"/>
      <c r="C45" s="16" t="s">
        <v>808</v>
      </c>
      <c r="D45" s="18" t="s">
        <v>809</v>
      </c>
      <c r="E45" s="18"/>
      <c r="F45" s="18" t="s">
        <v>71</v>
      </c>
      <c r="G45" s="19"/>
    </row>
    <row r="46" spans="1:7" ht="17" thickBot="1">
      <c r="A46" s="45" t="s">
        <v>810</v>
      </c>
      <c r="B46" s="261"/>
      <c r="C46" s="20" t="s">
        <v>811</v>
      </c>
      <c r="D46" s="22" t="s">
        <v>809</v>
      </c>
      <c r="E46" s="22"/>
      <c r="F46" s="22" t="s">
        <v>71</v>
      </c>
      <c r="G46" s="23"/>
    </row>
  </sheetData>
  <mergeCells count="13">
    <mergeCell ref="B20:B22"/>
    <mergeCell ref="A1:G1"/>
    <mergeCell ref="B3:B7"/>
    <mergeCell ref="B8:B10"/>
    <mergeCell ref="B11:B16"/>
    <mergeCell ref="B17:B19"/>
    <mergeCell ref="B42:B46"/>
    <mergeCell ref="B23:B25"/>
    <mergeCell ref="B26:B27"/>
    <mergeCell ref="B28:B29"/>
    <mergeCell ref="B30:B31"/>
    <mergeCell ref="B32:B36"/>
    <mergeCell ref="B37:B4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📊 Dashboard</vt:lpstr>
      <vt:lpstr>🐛 Bug Register</vt:lpstr>
      <vt:lpstr>🎯 Fix Tracker</vt:lpstr>
      <vt:lpstr>📋 1-Basic</vt:lpstr>
      <vt:lpstr>📋 2-Scientific</vt:lpstr>
      <vt:lpstr>📋 3-Statistics</vt:lpstr>
      <vt:lpstr>📋 4-Health</vt:lpstr>
      <vt:lpstr>📋 5-Finance</vt:lpstr>
      <vt:lpstr>📋 6-Trigonometry</vt:lpstr>
      <vt:lpstr>📋 7-Programming</vt:lpstr>
      <vt:lpstr>📋 8-EqSolver</vt:lpstr>
      <vt:lpstr>📋 9-Converter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srishtisharma3006@outlook.com</dc:creator>
  <cp:lastModifiedBy>srishtisharma3006@outlook.com</cp:lastModifiedBy>
  <dcterms:created xsi:type="dcterms:W3CDTF">2026-06-21T10:19:43Z</dcterms:created>
  <dcterms:modified xsi:type="dcterms:W3CDTF">2026-06-25T11:39:33Z</dcterms:modified>
</cp:coreProperties>
</file>